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OM материнка" sheetId="1" state="visible" r:id="rId3"/>
    <sheet name="BOM мезонин" sheetId="2" state="visible" r:id="rId4"/>
    <sheet name="Ножки ПЛИС" sheetId="3" state="visible" r:id="rId5"/>
    <sheet name="Ножки ESP32-S3" sheetId="4" state="visible" r:id="rId6"/>
    <sheet name="Бюджет питания" sheetId="5" state="visible" r:id="rId7"/>
    <sheet name="Решения" sheetId="6" state="visible" r:id="rId8"/>
    <sheet name="Открытые вопросы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<sst xmlns="http://schemas.openxmlformats.org/spreadsheetml/2006/main" count="858" uniqueCount="560">
  <si>
    <t xml:space="preserve">Fabbit — BOM материнской платы</t>
  </si>
  <si>
    <t xml:space="preserve">v2 от 03.10.2026: проверка по даташитам, аналоговое ядро перенесено с мезонина. Ссылки: verification.md</t>
  </si>
  <si>
    <t xml:space="preserve">№</t>
  </si>
  <si>
    <t xml:space="preserve">Раздел</t>
  </si>
  <si>
    <t xml:space="preserve">Узел / назначение</t>
  </si>
  <si>
    <t xml:space="preserve">Компонент (основной)</t>
  </si>
  <si>
    <t xml:space="preserve">Аналог / запасной</t>
  </si>
  <si>
    <t xml:space="preserve">Кол-во</t>
  </si>
  <si>
    <t xml:space="preserve">Цена за шт., ₽ (ориентир)</t>
  </si>
  <si>
    <t xml:space="preserve">Сумма, ₽</t>
  </si>
  <si>
    <t xml:space="preserve">Источник</t>
  </si>
  <si>
    <t xml:space="preserve">LCSC</t>
  </si>
  <si>
    <t xml:space="preserve">Изменение v2</t>
  </si>
  <si>
    <t xml:space="preserve">Примечание / что проверить</t>
  </si>
  <si>
    <t xml:space="preserve">Ядро</t>
  </si>
  <si>
    <t xml:space="preserve">Модуль ПЛИС</t>
  </si>
  <si>
    <t xml:space="preserve">Colorlight i9+ (XC7A50T-FGG484)</t>
  </si>
  <si>
    <t xml:space="preserve">—</t>
  </si>
  <si>
    <t xml:space="preserve">есть</t>
  </si>
  <si>
    <t xml:space="preserve">Speed grade, VCCO банков 34/35/15/16, ток по 5 В, ключ края (DDR2/DDR1)</t>
  </si>
  <si>
    <t xml:space="preserve">Разъём модуля</t>
  </si>
  <si>
    <t xml:space="preserve">TE 1473005-4, SO-DIMM 200 DDR2 угловой, H 5,2 мм</t>
  </si>
  <si>
    <t xml:space="preserve">TE 1717254-4</t>
  </si>
  <si>
    <t xml:space="preserve">купить</t>
  </si>
  <si>
    <t xml:space="preserve">C428482</t>
  </si>
  <si>
    <t xml:space="preserve">высота 5,2 вместо 4,0</t>
  </si>
  <si>
    <t xml:space="preserve">Вариант 4,0 мм с ключом DDR2 не найден. Обновить модель корпуса</t>
  </si>
  <si>
    <t xml:space="preserve">Микроконтроллер</t>
  </si>
  <si>
    <t xml:space="preserve">ESP32-S3-WROOM-1-N16R8</t>
  </si>
  <si>
    <t xml:space="preserve">18×25,5×3,1 мм; антенна за край платы, зазор в корпусе ≥ 15 мм (HDG)</t>
  </si>
  <si>
    <t xml:space="preserve">Кнопка recovery (GPIO0)</t>
  </si>
  <si>
    <t xml:space="preserve">Тактовая 3×4 мм SMD</t>
  </si>
  <si>
    <t xml:space="preserve">Скрепкой через отверстие</t>
  </si>
  <si>
    <t xml:space="preserve">Питание</t>
  </si>
  <si>
    <t xml:space="preserve">Зарядка, power-path, ship mode, QON</t>
  </si>
  <si>
    <t xml:space="preserve">TI BQ25601RTWR</t>
  </si>
  <si>
    <t xml:space="preserve">SGM41511 (выводы совпадают; сброс QON 14–20 с, VBUS ≤ 20 В)</t>
  </si>
  <si>
    <t xml:space="preserve">Сброс удержанием QON 8–12 с, только без VBUS. Заряд ~1,4 А</t>
  </si>
  <si>
    <t xml:space="preserve">Дроссель зарядки</t>
  </si>
  <si>
    <t xml:space="preserve">1 мкГн, ≥ 4 А</t>
  </si>
  <si>
    <t xml:space="preserve">Аккумулятор</t>
  </si>
  <si>
    <t xml:space="preserve">Li-pol 904070, ~2800 мА·ч, защита + NTC</t>
  </si>
  <si>
    <t xml:space="preserve">Нужен даташит банки: напряжение заряда (G1A/G1B), ток</t>
  </si>
  <si>
    <t xml:space="preserve">Указатель заряда</t>
  </si>
  <si>
    <t xml:space="preserve">TI BQ27441DRZR-G1A + шунт 10 мОм 1 %</t>
  </si>
  <si>
    <t xml:space="preserve">G1B при заряде до 4,35 В</t>
  </si>
  <si>
    <t xml:space="preserve">Конфигурация в RAM, писать после POR. Ток банки ≤ 2,5 А</t>
  </si>
  <si>
    <t xml:space="preserve">3,3 В системная</t>
  </si>
  <si>
    <t xml:space="preserve">TI TPS63802DLAR + дроссель</t>
  </si>
  <si>
    <t xml:space="preserve">TPS63020</t>
  </si>
  <si>
    <t xml:space="preserve">~2,6 А при 3,0 В на входе</t>
  </si>
  <si>
    <t xml:space="preserve">5 В модуля ПЛИС</t>
  </si>
  <si>
    <t xml:space="preserve">TI TPS61023DRLR + дроссель 1 мкГн</t>
  </si>
  <si>
    <t xml:space="preserve">SY7088</t>
  </si>
  <si>
    <t xml:space="preserve">без отдельного ключа</t>
  </si>
  <si>
    <t xml:space="preserve">Настоящее отключение нагрузки, TPS22918 не нужен. ~1,8 А при 3,0 В</t>
  </si>
  <si>
    <t xml:space="preserve">Ключи доменов: 3V3_FPGA, панель, SD, мезонин 3V3/5V</t>
  </si>
  <si>
    <t xml:space="preserve">TI TPS22917DBVR</t>
  </si>
  <si>
    <t xml:space="preserve">±6 В аналога</t>
  </si>
  <si>
    <t xml:space="preserve">TI TPS65131RGER + 2 дросселя</t>
  </si>
  <si>
    <t xml:space="preserve">бартер?</t>
  </si>
  <si>
    <t xml:space="preserve">VPOS ≥ VIN + 0,5 В, |VNEG| ≥ 2 В</t>
  </si>
  <si>
    <t xml:space="preserve">±10 В генератора (только при включённом генераторе)</t>
  </si>
  <si>
    <t xml:space="preserve">новая</t>
  </si>
  <si>
    <t xml:space="preserve">Отдельно, чтобы LDO ±5 В не грелись</t>
  </si>
  <si>
    <t xml:space="preserve">Кнопка питания + диоды</t>
  </si>
  <si>
    <t xml:space="preserve">Тактовая боковая + BAT54S</t>
  </si>
  <si>
    <t xml:space="preserve">BAT54C → BAT54S</t>
  </si>
  <si>
    <t xml:space="preserve">Кнопка на QON напрямую; ESP читает через D1; RTC INT → QON через D2. Порог QON проверить на макете</t>
  </si>
  <si>
    <t xml:space="preserve">Лаб. БП и измерения</t>
  </si>
  <si>
    <t xml:space="preserve">Источник CV/CC 0,8–20 В</t>
  </si>
  <si>
    <t xml:space="preserve">TI TPS55289RYQR + 2,2 мкГн + шунт CC</t>
  </si>
  <si>
    <t xml:space="preserve">VOUT абс. макс. 25 В; CC точен от 2 В; адрес 0x74; бит разряда выхода выключен</t>
  </si>
  <si>
    <t xml:space="preserve">Ключи S1, S2, S3: встречные N-MOSFET</t>
  </si>
  <si>
    <t xml:space="preserve">Nexperia PXN012-60QL (60 В, ≤ 17,6 мОм при 4,5 В)</t>
  </si>
  <si>
    <t xml:space="preserve">Vishay SiS862ADN (C3289417)</t>
  </si>
  <si>
    <t xml:space="preserve">C5280958</t>
  </si>
  <si>
    <t xml:space="preserve">Qg 9,6 нКл: включение ~1,3–3,2 мс от VOM1271; закрыты в обе стороны</t>
  </si>
  <si>
    <t xml:space="preserve">Драйверы затворов S1–S3</t>
  </si>
  <si>
    <t xml:space="preserve">Vishay VOM1271T</t>
  </si>
  <si>
    <t xml:space="preserve">VOC ≥ 7,8 В; включение ~0,5–1 мс</t>
  </si>
  <si>
    <t xml:space="preserve">Измерение V/I/P/энергии</t>
  </si>
  <si>
    <t xml:space="preserve">TI INA228AIDGSR + шунт 10 мОм 2512</t>
  </si>
  <si>
    <t xml:space="preserve">INA238</t>
  </si>
  <si>
    <t xml:space="preserve">Синфаза от −0,3 В: на входах 10 Ом + ограничитель</t>
  </si>
  <si>
    <t xml:space="preserve">Осциллограф тока</t>
  </si>
  <si>
    <t xml:space="preserve">TI INA241A3IDDFR (×50)</t>
  </si>
  <si>
    <t xml:space="preserve">INA240A3</t>
  </si>
  <si>
    <t xml:space="preserve">Выход → делитель → XADC ПЛИС</t>
  </si>
  <si>
    <t xml:space="preserve">«Лом» для глитчинга</t>
  </si>
  <si>
    <t xml:space="preserve">TI UCC27517DBVR + AOS AO3400A + R</t>
  </si>
  <si>
    <t xml:space="preserve">DMN3404L</t>
  </si>
  <si>
    <t xml:space="preserve">Фронт ~15–20 нс; ток ограничить резистором</t>
  </si>
  <si>
    <t xml:space="preserve">Детектор полярности P1</t>
  </si>
  <si>
    <t xml:space="preserve">Делитель + компаратор (деталь на схеме)</t>
  </si>
  <si>
    <t xml:space="preserve">S3 включается только при верной полярности</t>
  </si>
  <si>
    <t xml:space="preserve">Защита P1, P2</t>
  </si>
  <si>
    <t xml:space="preserve">Vishay SMBJ22A</t>
  </si>
  <si>
    <t xml:space="preserve">SMBJ20A → SMBJ22A</t>
  </si>
  <si>
    <t xml:space="preserve">SMBJ18A проводит с 20 В</t>
  </si>
  <si>
    <t xml:space="preserve">Разъём силовых пинов</t>
  </si>
  <si>
    <t xml:space="preserve">Гребёнка 2×2, 2,54 мм</t>
  </si>
  <si>
    <t xml:space="preserve">3 А в пределах (Samtec TSW 5,7 А); P1, P2, 2× GND</t>
  </si>
  <si>
    <t xml:space="preserve">USB</t>
  </si>
  <si>
    <t xml:space="preserve">Разъём</t>
  </si>
  <si>
    <t xml:space="preserve">HRO TYPE-C-31-M-13B + 2×5,1 кОм на CC</t>
  </si>
  <si>
    <t xml:space="preserve">TYPE-C-31-M-13C</t>
  </si>
  <si>
    <t xml:space="preserve">C2848619</t>
  </si>
  <si>
    <t xml:space="preserve">Mid-mount, без PD</t>
  </si>
  <si>
    <t xml:space="preserve">ESD D+/D−</t>
  </si>
  <si>
    <t xml:space="preserve">ST USBLC6-2SC6</t>
  </si>
  <si>
    <t xml:space="preserve">TPD2E2U06</t>
  </si>
  <si>
    <t xml:space="preserve">OVP перед хабом</t>
  </si>
  <si>
    <t xml:space="preserve">TI TPS259533DSGR (кламп 5,5–5,9 В)</t>
  </si>
  <si>
    <t xml:space="preserve">TPS25921A (C189199)</t>
  </si>
  <si>
    <t xml:space="preserve">C2155777</t>
  </si>
  <si>
    <t xml:space="preserve">вместо TVS VBUS</t>
  </si>
  <si>
    <t xml:space="preserve">Вход до 20 В; выход при клампе ≤ 5,7 В, GL850G V5 абс. макс. 6,0 В</t>
  </si>
  <si>
    <t xml:space="preserve">USB-хаб</t>
  </si>
  <si>
    <t xml:space="preserve">Genesys GL850G (SSOP28/QFN28) + кварц 12 МГц</t>
  </si>
  <si>
    <t xml:space="preserve">USB2514B</t>
  </si>
  <si>
    <t xml:space="preserve">V33 до 200 мА, не нагружать; 0…70 °C</t>
  </si>
  <si>
    <t xml:space="preserve">HS-мост для sigrok</t>
  </si>
  <si>
    <t xml:space="preserve">FTDI FT232HL + кварц 12 МГц</t>
  </si>
  <si>
    <t xml:space="preserve">FX2 (CY7C68013A)</t>
  </si>
  <si>
    <t xml:space="preserve">питание от 3V3_FPGA</t>
  </si>
  <si>
    <t xml:space="preserve">VREGIN 3,3 В; VCCIO, VPHY/VPLL через LC; RESET# с ПЛИС</t>
  </si>
  <si>
    <t xml:space="preserve">EEPROM моста</t>
  </si>
  <si>
    <t xml:space="preserve">Microchip 93LC56B</t>
  </si>
  <si>
    <t xml:space="preserve">93LC46B несовместима</t>
  </si>
  <si>
    <t xml:space="preserve">Видео</t>
  </si>
  <si>
    <t xml:space="preserve">Экран</t>
  </si>
  <si>
    <t xml:space="preserve">3,5" 640×480 IPS, NV3052C (WL-355608-A9)</t>
  </si>
  <si>
    <t xml:space="preserve">16 бит по D[20:16], D[13:8], D[4:0]; COLMOD 0x50; режим DE</t>
  </si>
  <si>
    <t xml:space="preserve">Разъём шлейфа</t>
  </si>
  <si>
    <t xml:space="preserve">BXCONN FC-05B54P21H20, FPC 54 конт. 0,5 мм, двусторонние контакты</t>
  </si>
  <si>
    <t xml:space="preserve">HDGC 0.5K-AS-54PWB</t>
  </si>
  <si>
    <t xml:space="preserve">C23398826</t>
  </si>
  <si>
    <t xml:space="preserve">Сторону контактов шлейфа прозвонить</t>
  </si>
  <si>
    <t xml:space="preserve">Драйвер подсветки</t>
  </si>
  <si>
    <t xml:space="preserve">TI TPS61169DCKR + дроссель + Шоттки</t>
  </si>
  <si>
    <t xml:space="preserve">MP3202 убран</t>
  </si>
  <si>
    <t xml:space="preserve">ШИМ с ПЛИС ≥ 20 кГц</t>
  </si>
  <si>
    <t xml:space="preserve">HDMI разъём</t>
  </si>
  <si>
    <t xml:space="preserve">HDGC HDMI-GD-116PWB, Type A mid-mount</t>
  </si>
  <si>
    <t xml:space="preserve">C7425329</t>
  </si>
  <si>
    <t xml:space="preserve">Высоту над платой уточнить</t>
  </si>
  <si>
    <t xml:space="preserve">HDMI защита + DDC + HPD + 5 В</t>
  </si>
  <si>
    <t xml:space="preserve">TI TPD12S016PWR</t>
  </si>
  <si>
    <t xml:space="preserve">VCCA 3,3 В</t>
  </si>
  <si>
    <t xml:space="preserve">Ввод</t>
  </si>
  <si>
    <t xml:space="preserve">Расширители: кнопки, детект SD, ключи</t>
  </si>
  <si>
    <t xml:space="preserve">TI TCA9555PWR</t>
  </si>
  <si>
    <t xml:space="preserve">PCA9555</t>
  </si>
  <si>
    <t xml:space="preserve">AW9523B → TCA9555</t>
  </si>
  <si>
    <t xml:space="preserve">Подтяжки 100 кОм внутри; адреса 0x20, 0x21</t>
  </si>
  <si>
    <t xml:space="preserve">Силиконовые накладки (прототип)</t>
  </si>
  <si>
    <t xml:space="preserve">Накладки и кнопки RG35XX Plus</t>
  </si>
  <si>
    <t xml:space="preserve">свои купола в v2</t>
  </si>
  <si>
    <t xml:space="preserve">Лот на AliExpress не подтверждён</t>
  </si>
  <si>
    <t xml:space="preserve">Колесо-энкодер</t>
  </si>
  <si>
    <t xml:space="preserve">Alps EC10E1220503</t>
  </si>
  <si>
    <t xml:space="preserve">EC10E1220505</t>
  </si>
  <si>
    <t xml:space="preserve">C110291</t>
  </si>
  <si>
    <t xml:space="preserve">24 фиксации / 12 импульсов, высота 11 мм</t>
  </si>
  <si>
    <t xml:space="preserve">Нажатие колеса</t>
  </si>
  <si>
    <t xml:space="preserve">Alps SKQGABE010</t>
  </si>
  <si>
    <t xml:space="preserve">TS-1187A-B-A-B</t>
  </si>
  <si>
    <t xml:space="preserve">C115351</t>
  </si>
  <si>
    <t xml:space="preserve">Звук и вибро</t>
  </si>
  <si>
    <t xml:space="preserve">Микрофон (на ПЛИС)</t>
  </si>
  <si>
    <t xml:space="preserve">Knowles SPH0641LU4H-1 (PDM)</t>
  </si>
  <si>
    <t xml:space="preserve">MSM261D3526H1CPM</t>
  </si>
  <si>
    <t xml:space="preserve">C2879853</t>
  </si>
  <si>
    <t xml:space="preserve">MP34DT05-A снят</t>
  </si>
  <si>
    <t xml:space="preserve">1,62–3,6 В; такт 1,024–2,475 МГц; порт снизу: отверстие в плате</t>
  </si>
  <si>
    <t xml:space="preserve">Усилитель (на ПЛИС, I2S)</t>
  </si>
  <si>
    <t xml:space="preserve">ADI MAX98357AETE+</t>
  </si>
  <si>
    <t xml:space="preserve">NS4168 → MAX98357A</t>
  </si>
  <si>
    <t xml:space="preserve">VIH 1,3 В; 0,77 Вт на 8 Ом при 3,7 В; SD_MODE с ПЛИС</t>
  </si>
  <si>
    <t xml:space="preserve">Динамик</t>
  </si>
  <si>
    <t xml:space="preserve">1 Вт 8 Ом, ~20×15 мм</t>
  </si>
  <si>
    <t xml:space="preserve">Драйвер вибро</t>
  </si>
  <si>
    <t xml:space="preserve">TI DRV2605LDGSR</t>
  </si>
  <si>
    <t xml:space="preserve">Нагрузка ≥ 8 Ом</t>
  </si>
  <si>
    <t xml:space="preserve">Вибромотор</t>
  </si>
  <si>
    <t xml:space="preserve">Vybronics VL120628H, LRA ось X</t>
  </si>
  <si>
    <t xml:space="preserve">VG0832012 (LRA Ø8)</t>
  </si>
  <si>
    <t xml:space="preserve">1027 (ERM) убран</t>
  </si>
  <si>
    <t xml:space="preserve">12×6×2,8 мм, 1,8 G, ~15 Ом; габарит по чертежу</t>
  </si>
  <si>
    <t xml:space="preserve">Хранилище и время</t>
  </si>
  <si>
    <t xml:space="preserve">microSD</t>
  </si>
  <si>
    <t xml:space="preserve">Hirose DM3AT-SF-PEJM5, push-push</t>
  </si>
  <si>
    <t xml:space="preserve">HRO TF-01A</t>
  </si>
  <si>
    <t xml:space="preserve">C114218</t>
  </si>
  <si>
    <t xml:space="preserve">SDMMC 4 бит на ESP через матрицу</t>
  </si>
  <si>
    <t xml:space="preserve">RTC</t>
  </si>
  <si>
    <t xml:space="preserve">Belling BM8563 + кварц 32,768 кГц</t>
  </si>
  <si>
    <t xml:space="preserve">NXP PCF8563</t>
  </si>
  <si>
    <t xml:space="preserve">От банки; INT → QON; CLKOUT выключить</t>
  </si>
  <si>
    <t xml:space="preserve">Анализатор</t>
  </si>
  <si>
    <t xml:space="preserve">Трансиверы, направление на линию</t>
  </si>
  <si>
    <t xml:space="preserve">TI SN74LXC1T45DCKR</t>
  </si>
  <si>
    <t xml:space="preserve">SN74LVC1T45DCK (только VCCIO ≥ 1,65 В)</t>
  </si>
  <si>
    <t xml:space="preserve">корпус DCK</t>
  </si>
  <si>
    <t xml:space="preserve">DRL не заказать; 1,2 В на цели: 10 Мбит/с</t>
  </si>
  <si>
    <t xml:space="preserve">Последовательная защита</t>
  </si>
  <si>
    <t xml:space="preserve">Vishay CRCW0805150RFKEAHP (150 Ом)</t>
  </si>
  <si>
    <t xml:space="preserve">100 → 150 Ом</t>
  </si>
  <si>
    <t xml:space="preserve">0,5 Вт; при 12 В ~40 мА на линию</t>
  </si>
  <si>
    <t xml:space="preserve">Отводящие диоды</t>
  </si>
  <si>
    <t xml:space="preserve">Nexperia BAV99</t>
  </si>
  <si>
    <t xml:space="preserve">Cd ≤ 1,5 пФ</t>
  </si>
  <si>
    <t xml:space="preserve">ESD шины-ограничителя</t>
  </si>
  <si>
    <t xml:space="preserve">SMF5.0A</t>
  </si>
  <si>
    <t xml:space="preserve">только ESD</t>
  </si>
  <si>
    <t xml:space="preserve">Активный шунт шины ~5,2 В</t>
  </si>
  <si>
    <t xml:space="preserve">TI TLVH431 + Nexperia BCP53-16 + 6,8 Ом</t>
  </si>
  <si>
    <t xml:space="preserve">TL431AIPK (C32854)</t>
  </si>
  <si>
    <t xml:space="preserve">C545172 / C85085</t>
  </si>
  <si>
    <t xml:space="preserve">По одному на разъём; 5,0–5,3 В при 10–500 мА (расчёт); устойчивость проверить в SPICE</t>
  </si>
  <si>
    <t xml:space="preserve">VCCIO разъёмов A/B</t>
  </si>
  <si>
    <t xml:space="preserve">TI TLV75801PDBVR</t>
  </si>
  <si>
    <t xml:space="preserve">1,1–4,7 В от 5 В модуля; EN только после записи кода ЦАП</t>
  </si>
  <si>
    <t xml:space="preserve">ЦАП: VCCIO A/B и смещение CH1/CH2</t>
  </si>
  <si>
    <t xml:space="preserve">Microchip MCP4728-E/UN</t>
  </si>
  <si>
    <t xml:space="preserve">один на 4 канала</t>
  </si>
  <si>
    <t xml:space="preserve">Код 0 даёт максимум VCCIO; безопасный код в EEPROM</t>
  </si>
  <si>
    <t xml:space="preserve">Сдвиговый регистр направлений</t>
  </si>
  <si>
    <t xml:space="preserve">TI SN74LVC595APWR</t>
  </si>
  <si>
    <t xml:space="preserve">74HC595</t>
  </si>
  <si>
    <t xml:space="preserve">104 МГц при 3,3 В</t>
  </si>
  <si>
    <t xml:space="preserve">Подтяжки</t>
  </si>
  <si>
    <t xml:space="preserve">Сборка 4×4,7 кОм</t>
  </si>
  <si>
    <t xml:space="preserve">Ключи подтяжек</t>
  </si>
  <si>
    <t xml:space="preserve">P-MOSFET</t>
  </si>
  <si>
    <t xml:space="preserve">Разъёмы анализатора</t>
  </si>
  <si>
    <t xml:space="preserve">Гребёнка 2×10, 2,54 мм, угловая</t>
  </si>
  <si>
    <t xml:space="preserve">Ряд: 10 сигналов; второй ряд: 9 GND + VREF</t>
  </si>
  <si>
    <t xml:space="preserve">Аналог (осциллограф, мультиметр, генератор)</t>
  </si>
  <si>
    <t xml:space="preserve">Быстрый АЦП</t>
  </si>
  <si>
    <t xml:space="preserve">ADI HMCAD1511 (QFN-48)</t>
  </si>
  <si>
    <t xml:space="preserve">с мезонина</t>
  </si>
  <si>
    <t xml:space="preserve">ЧипСити; 1 на плату + запас. LVDS_25 в банке 34, DIFF_TERM = FALSE</t>
  </si>
  <si>
    <t xml:space="preserve">Терминаторы LVDS</t>
  </si>
  <si>
    <t xml:space="preserve">100 Ом 0402</t>
  </si>
  <si>
    <t xml:space="preserve">Синтезатор такта АЦП</t>
  </si>
  <si>
    <t xml:space="preserve">ADI ADF4351BCPZ + TCXO 25 МГц</t>
  </si>
  <si>
    <t xml:space="preserve">TI LMX2572LP (−0,16 Вт, джиттер н/п)</t>
  </si>
  <si>
    <t xml:space="preserve">0,41 Вт, джиттер 0,27 пс</t>
  </si>
  <si>
    <t xml:space="preserve">Питание HMCAD: buck 3,3 → 2,1 В</t>
  </si>
  <si>
    <t xml:space="preserve">TI TPS62A01ADRLR + дроссель</t>
  </si>
  <si>
    <t xml:space="preserve">TLV62569</t>
  </si>
  <si>
    <t xml:space="preserve">Forced PWM</t>
  </si>
  <si>
    <t xml:space="preserve">Питание HMCAD: LDO AVDD / DVDD 1,8 В</t>
  </si>
  <si>
    <t xml:space="preserve">TI TPS7A9401 (AVDD) + TPS7A20 (DVDD)</t>
  </si>
  <si>
    <t xml:space="preserve">TPS7A91</t>
  </si>
  <si>
    <t xml:space="preserve">вместо TPS7A20 ×3</t>
  </si>
  <si>
    <t xml:space="preserve">AVDD 270 мА, DVDD 125 мА</t>
  </si>
  <si>
    <t xml:space="preserve">Входной буфер 1 МОм</t>
  </si>
  <si>
    <t xml:space="preserve">onsemi 2SK3557-7-TB-E (JFET) + NPN</t>
  </si>
  <si>
    <t xml:space="preserve">MMBFJ310LT1G (C33416)</t>
  </si>
  <si>
    <t xml:space="preserve">C604972</t>
  </si>
  <si>
    <t xml:space="preserve">MMBF5486, BF862 сняты</t>
  </si>
  <si>
    <t xml:space="preserve">Схема по даташиту LMH6518, раздел 7.2.2; распиновку CP-3 сверить</t>
  </si>
  <si>
    <t xml:space="preserve">Ступени усиления</t>
  </si>
  <si>
    <t xml:space="preserve">TI TMUX6111</t>
  </si>
  <si>
    <t xml:space="preserve">ADG1609 (полоса ~70 МГц)</t>
  </si>
  <si>
    <t xml:space="preserve">LMH6518 убран</t>
  </si>
  <si>
    <t xml:space="preserve">Ron при ±5 В проверить</t>
  </si>
  <si>
    <t xml:space="preserve">Драйвер АЦП</t>
  </si>
  <si>
    <t xml:space="preserve">TI THS4541IRGTR</t>
  </si>
  <si>
    <t xml:space="preserve">LMH6552</t>
  </si>
  <si>
    <t xml:space="preserve">~50 мВт</t>
  </si>
  <si>
    <t xml:space="preserve">LDO ±5 В аналога</t>
  </si>
  <si>
    <t xml:space="preserve">TI TPS7A4901 + TPS7A3001</t>
  </si>
  <si>
    <t xml:space="preserve">TPS7A20 убран</t>
  </si>
  <si>
    <t xml:space="preserve">+ LC-фильтр перед LDO</t>
  </si>
  <si>
    <t xml:space="preserve">Точный АЦП (мультиметр)</t>
  </si>
  <si>
    <t xml:space="preserve">TI ADS1220IPWR</t>
  </si>
  <si>
    <t xml:space="preserve">IDAC на вход CH1</t>
  </si>
  <si>
    <t xml:space="preserve">Быстрый ЦАП генератора</t>
  </si>
  <si>
    <t xml:space="preserve">ADI AD9744ARUZ</t>
  </si>
  <si>
    <t xml:space="preserve">AD9742 (12 бит, те же выводы)</t>
  </si>
  <si>
    <t xml:space="preserve">Питание 2,7–3,6 В, логика от 2,1 В</t>
  </si>
  <si>
    <t xml:space="preserve">Фильтр восстановления</t>
  </si>
  <si>
    <t xml:space="preserve">LC эллиптический 7-го порядка</t>
  </si>
  <si>
    <t xml:space="preserve">Выходной усилитель генератора</t>
  </si>
  <si>
    <t xml:space="preserve">TI THS3091DDA</t>
  </si>
  <si>
    <t xml:space="preserve">OPA695 убран</t>
  </si>
  <si>
    <t xml:space="preserve">±9 В; 10 Впп без нагрузки / 5 Впп на 50 Ом</t>
  </si>
  <si>
    <t xml:space="preserve">LDO ±9 В генератора</t>
  </si>
  <si>
    <t xml:space="preserve">От TPS65131 №2</t>
  </si>
  <si>
    <t xml:space="preserve">Мезонин (на материнке)</t>
  </si>
  <si>
    <t xml:space="preserve">Разъём мезонина</t>
  </si>
  <si>
    <t xml:space="preserve">Amphenol BergStak 61082-082402LF (гнездо 2×40, 0,8 мм)</t>
  </si>
  <si>
    <t xml:space="preserve">Hirose FX23-80S-0.5SV</t>
  </si>
  <si>
    <t xml:space="preserve">C464636</t>
  </si>
  <si>
    <t xml:space="preserve">1,27 мм 2×20 ×2 → BergStak</t>
  </si>
  <si>
    <t xml:space="preserve">Стек 9 мм с 61083-081402LF; длину по чертежу 2×40 сверить</t>
  </si>
  <si>
    <t xml:space="preserve">Пассив и прочее</t>
  </si>
  <si>
    <t xml:space="preserve">Пассив, кварцы, ферриты, тестовые площадки</t>
  </si>
  <si>
    <t xml:space="preserve">+ аналог</t>
  </si>
  <si>
    <t xml:space="preserve">Грубая оценка на всю материнку</t>
  </si>
  <si>
    <t xml:space="preserve">Итого, ₽</t>
  </si>
  <si>
    <t xml:space="preserve">из них «бартер?»</t>
  </si>
  <si>
    <t xml:space="preserve">из них «купить»</t>
  </si>
  <si>
    <t xml:space="preserve">Как пользоваться: синие ячейки (кол-во, цена) редактируемые; «Сумма» и итоги считаются сами. Цены ориентировочные, у поставщиков не проверены (LCSC: $1 ≈ 95 ₽). «Источник»: есть / купить / бартер?. Зелёная ячейка «Изменение v2»: строка изменилась после проверки по даташитам. Ссылки и страницы: verification.md.</t>
  </si>
  <si>
    <t xml:space="preserve">Fabbit — BOM мезонина №1 (фронт: входы и выход генератора)</t>
  </si>
  <si>
    <t xml:space="preserve">v2 от 03.10.2026: на мезонине только разъёмы, делители, реле и опознание. Аналоговое ядро на материнке</t>
  </si>
  <si>
    <t xml:space="preserve">Входы и реле</t>
  </si>
  <si>
    <t xml:space="preserve">Разъёмы CH1, CH2, GEN</t>
  </si>
  <si>
    <t xml:space="preserve">Molex 73251-1150, SMA торцевой</t>
  </si>
  <si>
    <t xml:space="preserve">Cinch 142-0701-801 (C3173345)</t>
  </si>
  <si>
    <t xml:space="preserve">C841205</t>
  </si>
  <si>
    <t xml:space="preserve">2 → 3 SMA</t>
  </si>
  <si>
    <t xml:space="preserve">Чертёж Molex сверить</t>
  </si>
  <si>
    <t xml:space="preserve">Реле: делитель 1:1/1:10 ×2, AC/DC ×2, подключение GEN</t>
  </si>
  <si>
    <t xml:space="preserve">Omron G6KU-2F-Y DC3 (бистабильное)</t>
  </si>
  <si>
    <t xml:space="preserve">Panasonic TQ2SA-L2-3V</t>
  </si>
  <si>
    <t xml:space="preserve">C6259328</t>
  </si>
  <si>
    <t xml:space="preserve">8 TQ2SA → 5 G6KU</t>
  </si>
  <si>
    <t xml:space="preserve">10×6,5×5,2 мм, 33 мА, импульс ≥ 10 мс</t>
  </si>
  <si>
    <t xml:space="preserve">Драйвер реле</t>
  </si>
  <si>
    <t xml:space="preserve">TI DRV8837DSGR (H-мост)</t>
  </si>
  <si>
    <t xml:space="preserve">DRV8835 ×3 (C129328)</t>
  </si>
  <si>
    <t xml:space="preserve">C39159</t>
  </si>
  <si>
    <t xml:space="preserve">От TCA9555: 10 IN + общий nSLEEP; сон 95 нА</t>
  </si>
  <si>
    <t xml:space="preserve">Компенсированный делитель 1 МОм</t>
  </si>
  <si>
    <t xml:space="preserve">Резисторы + подстроечные конденсаторы 2–5 пФ</t>
  </si>
  <si>
    <t xml:space="preserve">10:1 = 900 кОм ∥ 8 пФ и 111 кОм ∥ 65 пФ (LMH6518, рис. 7-12)</t>
  </si>
  <si>
    <t xml:space="preserve">Защита входа после делителя</t>
  </si>
  <si>
    <t xml:space="preserve">Резистор + Nexperia BAV99</t>
  </si>
  <si>
    <t xml:space="preserve">BAS70-04</t>
  </si>
  <si>
    <t xml:space="preserve">Утечка 30 нА на 1 МОм = 30 мВ, поэтому после делителя</t>
  </si>
  <si>
    <t xml:space="preserve">Служебное</t>
  </si>
  <si>
    <t xml:space="preserve">Расширитель реле</t>
  </si>
  <si>
    <t xml:space="preserve">Шина I2C мезонина</t>
  </si>
  <si>
    <t xml:space="preserve">EEPROM опознания</t>
  </si>
  <si>
    <t xml:space="preserve">Microchip 24AA02</t>
  </si>
  <si>
    <t xml:space="preserve">Занимает 0x50–0x57, только на шине мезонина</t>
  </si>
  <si>
    <t xml:space="preserve">Разъём на материнку</t>
  </si>
  <si>
    <t xml:space="preserve">Amphenol BergStak 61083-081402LF (штырь 2×40)</t>
  </si>
  <si>
    <t xml:space="preserve">C464611</t>
  </si>
  <si>
    <t xml:space="preserve">BergStak</t>
  </si>
  <si>
    <t xml:space="preserve">Стек 9 мм</t>
  </si>
  <si>
    <t xml:space="preserve">Пассив</t>
  </si>
  <si>
    <t xml:space="preserve">Ножки ПЛИС: бюджет и раскладка по банкам (v2, предварительно)</t>
  </si>
  <si>
    <t xml:space="preserve">Источники: распиновка SODIMM i9+ (wuxx), package file XC7A50T-FGG484, DS181, UG471</t>
  </si>
  <si>
    <t xml:space="preserve">Функция</t>
  </si>
  <si>
    <t xml:space="preserve">Ножек</t>
  </si>
  <si>
    <t xml:space="preserve">Банк (план)</t>
  </si>
  <si>
    <t xml:space="preserve">Требования</t>
  </si>
  <si>
    <t xml:space="preserve">Примечание</t>
  </si>
  <si>
    <t xml:space="preserve">Экран RGB565 + PCLK + DE</t>
  </si>
  <si>
    <t xml:space="preserve">15/35/16 + 14</t>
  </si>
  <si>
    <t xml:space="preserve">Только банк 3,3 В; PCLK/DE на банке 14</t>
  </si>
  <si>
    <t xml:space="preserve">16 бит по карте NV3052C; режим DE, HS/VS не нужны</t>
  </si>
  <si>
    <t xml:space="preserve">CS экрана (инициализация по общей SPI)</t>
  </si>
  <si>
    <t xml:space="preserve">14</t>
  </si>
  <si>
    <t xml:space="preserve">Общая медленная SPI: SCK/MOSI/MISO + CS HMCAD, ADS1220, PLL</t>
  </si>
  <si>
    <t xml:space="preserve">34</t>
  </si>
  <si>
    <t xml:space="preserve">DRDY ADS1220 через DOUT</t>
  </si>
  <si>
    <t xml:space="preserve">HDMI TMDS (4 пары)</t>
  </si>
  <si>
    <t xml:space="preserve">TMDS_33, VCCO 3,3 В, DDR 10:1</t>
  </si>
  <si>
    <t xml:space="preserve">CLK=L14 (143/145), D0=L19 (127/125), D1=L8 (149/151), D2=L7 (165/167)</t>
  </si>
  <si>
    <t xml:space="preserve">HDMI DDC + HPD</t>
  </si>
  <si>
    <t xml:space="preserve">Через TPD12S016</t>
  </si>
  <si>
    <t xml:space="preserve">Шина ESP: quad SPI (CLK, CS, D0–D3) + IRQ</t>
  </si>
  <si>
    <t xml:space="preserve">CLK на MRCC/SRCC</t>
  </si>
  <si>
    <t xml:space="preserve">80 МГц, ~40 МБ/с</t>
  </si>
  <si>
    <t xml:space="preserve">FT232H sync FIFO</t>
  </si>
  <si>
    <t xml:space="preserve">CLKOUT 60 МГц на MRCC (L12P W19, конт. 135)</t>
  </si>
  <si>
    <t xml:space="preserve">Анализатор: данные</t>
  </si>
  <si>
    <t xml:space="preserve">15/35/16</t>
  </si>
  <si>
    <t xml:space="preserve">Через SN74LXC1T45</t>
  </si>
  <si>
    <t xml:space="preserve">Анализатор: прямые DIR (8 быстрых линий)</t>
  </si>
  <si>
    <t xml:space="preserve">Анализатор: сдвиговый регистр DIR (12 линий)</t>
  </si>
  <si>
    <t xml:space="preserve">SER/CLK/LATCH</t>
  </si>
  <si>
    <t xml:space="preserve">Звук: PDM 2 + I2S 3 + SD_MODE</t>
  </si>
  <si>
    <t xml:space="preserve">MAX98357A</t>
  </si>
  <si>
    <t xml:space="preserve">Вибро TRIG, ключ P2, «лом», ШИМ подсветки</t>
  </si>
  <si>
    <t xml:space="preserve">34/14</t>
  </si>
  <si>
    <t xml:space="preserve">HMCAD1511 LVDS (8 данных + FCLK + LCLK)</t>
  </si>
  <si>
    <t xml:space="preserve">LVDS_25, DIFF_TERM = FALSE, 100 Ом снаружи; LCLK на MRCC/SRCC</t>
  </si>
  <si>
    <t xml:space="preserve">На материнке рядом с разъёмом</t>
  </si>
  <si>
    <t xml:space="preserve">AD9744: 14 бит + такт</t>
  </si>
  <si>
    <t xml:space="preserve">VCCO ≥ 2,5 В (единица от 2,1 В)</t>
  </si>
  <si>
    <t xml:space="preserve">XADC I_SENSE (VAUXP/N)</t>
  </si>
  <si>
    <t xml:space="preserve">15</t>
  </si>
  <si>
    <t xml:space="preserve">Вход 0–1 В</t>
  </si>
  <si>
    <t xml:space="preserve">AD1 (160/168) или AD9 (162/172)</t>
  </si>
  <si>
    <t xml:space="preserve">Сервисные линии мезонина</t>
  </si>
  <si>
    <t xml:space="preserve">остаток 34/14/15</t>
  </si>
  <si>
    <t xml:space="preserve">CAN, RS-485, ИК, GPIO на сервисных мезонинах</t>
  </si>
  <si>
    <t xml:space="preserve">Итого занято</t>
  </si>
  <si>
    <t xml:space="preserve">Доступно на разъёме SODIMM</t>
  </si>
  <si>
    <t xml:space="preserve">Запас</t>
  </si>
  <si>
    <t xml:space="preserve">Ёмкость банков на разъёме</t>
  </si>
  <si>
    <t xml:space="preserve">Банк</t>
  </si>
  <si>
    <t xml:space="preserve">Ножек на разъёме</t>
  </si>
  <si>
    <t xml:space="preserve">Целых пар</t>
  </si>
  <si>
    <t xml:space="preserve">VCCO</t>
  </si>
  <si>
    <t xml:space="preserve">Комментарий</t>
  </si>
  <si>
    <t xml:space="preserve">не известно, померить</t>
  </si>
  <si>
    <t xml:space="preserve">HMCAD, AD9744, медленная SPI. Нужно ≥ 2,5 В</t>
  </si>
  <si>
    <t xml:space="preserve">3,3 В (конфиг. флеш)</t>
  </si>
  <si>
    <t xml:space="preserve">HDMI, шина ESP, FT232H, управление экраном</t>
  </si>
  <si>
    <t xml:space="preserve">XADC AD1/AD9</t>
  </si>
  <si>
    <t xml:space="preserve">не известно (Ethernet RGMII)</t>
  </si>
  <si>
    <t xml:space="preserve">Генератор 25 МГц на K4 внутри модуля</t>
  </si>
  <si>
    <t xml:space="preserve">3,3 В вероятно (SDRAM)</t>
  </si>
  <si>
    <t xml:space="preserve">В доке wuxx контакты 51 и 53 оба подписаны T4: проверить тестером. JTAG и SPI-флеш модуля не выведены на SODIMM, загрузка через golden-образ + IPROG.</t>
  </si>
  <si>
    <t xml:space="preserve">ESP32-S3-WROOM-1-N16R8: назначение GPIO (v2)</t>
  </si>
  <si>
    <t xml:space="preserve">GPIO 26–34 не выведены, 35–37 заняты octal PSRAM. Доступно 33: GPIO 0–21 и 38–48.</t>
  </si>
  <si>
    <t xml:space="preserve">GPIO</t>
  </si>
  <si>
    <t xml:space="preserve">Ограничения / примечание</t>
  </si>
  <si>
    <t xml:space="preserve">0</t>
  </si>
  <si>
    <t xml:space="preserve">Кнопка recovery</t>
  </si>
  <si>
    <t xml:space="preserve">Strapping: подтянут вверх; 0 при старте + GPIO46 = 0 → загрузчик</t>
  </si>
  <si>
    <t xml:space="preserve">1</t>
  </si>
  <si>
    <t xml:space="preserve">VREF_A (ADC1)</t>
  </si>
  <si>
    <t xml:space="preserve">Делитель 1:4 (300 кОм / 100 кОм) + 100 нФ, ATTEN2 (0–1,6 В)</t>
  </si>
  <si>
    <t xml:space="preserve">2</t>
  </si>
  <si>
    <t xml:space="preserve">VREF_B (ADC1)</t>
  </si>
  <si>
    <t xml:space="preserve">То же</t>
  </si>
  <si>
    <t xml:space="preserve">3</t>
  </si>
  <si>
    <t xml:space="preserve">Резерв</t>
  </si>
  <si>
    <t xml:space="preserve">Strapping JTAG, без eFuse не влияет</t>
  </si>
  <si>
    <t xml:space="preserve">4</t>
  </si>
  <si>
    <t xml:space="preserve">Кнопка питания (чтение)</t>
  </si>
  <si>
    <t xml:space="preserve">Через диод BAT54S; кнопка замыкает QON напрямую</t>
  </si>
  <si>
    <t xml:space="preserve">5</t>
  </si>
  <si>
    <t xml:space="preserve">Было прерывание RTC: RTC теперь будит через QON, флаг читается по I2C</t>
  </si>
  <si>
    <t xml:space="preserve">6</t>
  </si>
  <si>
    <t xml:space="preserve">Общее прерывание: TCA9555 ×2, BQ25601, BQ27441, INA228 ALERT</t>
  </si>
  <si>
    <t xml:space="preserve">Открытый сток</t>
  </si>
  <si>
    <t xml:space="preserve">7</t>
  </si>
  <si>
    <t xml:space="preserve">I2C0 SDA</t>
  </si>
  <si>
    <t xml:space="preserve">Основная шина</t>
  </si>
  <si>
    <t xml:space="preserve">8</t>
  </si>
  <si>
    <t xml:space="preserve">I2C0 SCL</t>
  </si>
  <si>
    <t xml:space="preserve">9</t>
  </si>
  <si>
    <t xml:space="preserve">Шина ПЛИС: FSPIHD (D3)</t>
  </si>
  <si>
    <t xml:space="preserve">IO_MUX, 80 МГц</t>
  </si>
  <si>
    <t xml:space="preserve">10</t>
  </si>
  <si>
    <t xml:space="preserve">Шина ПЛИС: FSPICS0</t>
  </si>
  <si>
    <t xml:space="preserve">IO_MUX</t>
  </si>
  <si>
    <t xml:space="preserve">11</t>
  </si>
  <si>
    <t xml:space="preserve">Шина ПЛИС: FSPID (D0)</t>
  </si>
  <si>
    <t xml:space="preserve">12</t>
  </si>
  <si>
    <t xml:space="preserve">Шина ПЛИС: FSPICLK</t>
  </si>
  <si>
    <t xml:space="preserve">IO_MUX; 33 Ом последовательно; при выкл. ПЛИС Hi-Z</t>
  </si>
  <si>
    <t xml:space="preserve">13</t>
  </si>
  <si>
    <t xml:space="preserve">Шина ПЛИС: FSPIQ (D1)</t>
  </si>
  <si>
    <t xml:space="preserve">Шина ПЛИС: FSPIWP (D2)</t>
  </si>
  <si>
    <t xml:space="preserve">15, 16</t>
  </si>
  <si>
    <t xml:space="preserve">Энкодер A/B</t>
  </si>
  <si>
    <t xml:space="preserve">PCNT</t>
  </si>
  <si>
    <t xml:space="preserve">17, 18, 21, 38, 39, 40</t>
  </si>
  <si>
    <t xml:space="preserve">microSD: CLK, CMD, D0–D3</t>
  </si>
  <si>
    <t xml:space="preserve">SDMMC только через матрицу</t>
  </si>
  <si>
    <t xml:space="preserve">19, 20</t>
  </si>
  <si>
    <t xml:space="preserve">USB D− / D+</t>
  </si>
  <si>
    <t xml:space="preserve">К порту хаба</t>
  </si>
  <si>
    <t xml:space="preserve">41, 42</t>
  </si>
  <si>
    <t xml:space="preserve">I2C1 SDA/SCL: шина мезонина</t>
  </si>
  <si>
    <t xml:space="preserve">ESP отключает I2C1, пока мезонин без питания</t>
  </si>
  <si>
    <t xml:space="preserve">43, 44</t>
  </si>
  <si>
    <t xml:space="preserve">UART0 TX/RX</t>
  </si>
  <si>
    <t xml:space="preserve">Тестовые площадки</t>
  </si>
  <si>
    <t xml:space="preserve">45</t>
  </si>
  <si>
    <t xml:space="preserve">Включение 5 В модуля ПЛИС</t>
  </si>
  <si>
    <t xml:space="preserve">Strapping VDD_SPI: 0 → 3,3 В, подтяжка к GND</t>
  </si>
  <si>
    <t xml:space="preserve">46</t>
  </si>
  <si>
    <t xml:space="preserve">Прерывание от ПЛИС</t>
  </si>
  <si>
    <t xml:space="preserve">Strapping: подтяжка к GND</t>
  </si>
  <si>
    <t xml:space="preserve">47</t>
  </si>
  <si>
    <t xml:space="preserve">48</t>
  </si>
  <si>
    <t xml:space="preserve">Детект / прерывание мезонина</t>
  </si>
  <si>
    <t xml:space="preserve">Свободны GPIO 3, 5, 47. GPIO 1–14, 17, 18 при включении проваливаются в 0 на ~60 мкс: на EN внешних микросхем их не ставить.</t>
  </si>
  <si>
    <t xml:space="preserve">Бюджет питания и автономность (v2, оценка)</t>
  </si>
  <si>
    <t xml:space="preserve">Синие ячейки: допущения, менять по замерам. Первым делом померить ток модуля i9+ по 5 В.</t>
  </si>
  <si>
    <t xml:space="preserve">Ёмкость банки, мА·ч</t>
  </si>
  <si>
    <t xml:space="preserve">Номинальное напряжение, В</t>
  </si>
  <si>
    <t xml:space="preserve">Используемая доля ёмкости</t>
  </si>
  <si>
    <t xml:space="preserve">КПД преобразователей</t>
  </si>
  <si>
    <t xml:space="preserve">Доступная энергия, Вт·ч</t>
  </si>
  <si>
    <t xml:space="preserve">Потребитель, Вт</t>
  </si>
  <si>
    <t xml:space="preserve">Меню</t>
  </si>
  <si>
    <t xml:space="preserve">Игра</t>
  </si>
  <si>
    <t xml:space="preserve">Осциллограф</t>
  </si>
  <si>
    <t xml:space="preserve">Осц. + генератор</t>
  </si>
  <si>
    <t xml:space="preserve">Лаб. БП (без нагрузки)</t>
  </si>
  <si>
    <t xml:space="preserve">ESP32-S3 (Wi-Fi выкл., LVGL)</t>
  </si>
  <si>
    <t xml:space="preserve">Модуль ПЛИС + SDRAM (PHY в сбросе)</t>
  </si>
  <si>
    <t xml:space="preserve">Подсветка</t>
  </si>
  <si>
    <t xml:space="preserve">Логика панели</t>
  </si>
  <si>
    <t xml:space="preserve">Звук</t>
  </si>
  <si>
    <t xml:space="preserve">Анализатор (трансиверы, VCCIO)</t>
  </si>
  <si>
    <t xml:space="preserve">HMCAD1511</t>
  </si>
  <si>
    <t xml:space="preserve">Синтезатор ADF4351</t>
  </si>
  <si>
    <t xml:space="preserve">Входной тракт ×2 (буфер, ступени, THS4541)</t>
  </si>
  <si>
    <t xml:space="preserve">Потери buck/LDO 1,8 В, LDO ±5 В, TPS65131</t>
  </si>
  <si>
    <t xml:space="preserve">Генератор: AD9744, THS3091, TPS65131 №2</t>
  </si>
  <si>
    <t xml:space="preserve">Лаб. БП: собственное потребление</t>
  </si>
  <si>
    <t xml:space="preserve">Сумма нагрузок, Вт</t>
  </si>
  <si>
    <t xml:space="preserve">Из батареи с учётом КПД, Вт</t>
  </si>
  <si>
    <t xml:space="preserve">Автономность, ч</t>
  </si>
  <si>
    <t xml:space="preserve">Сон / выкл.: ship mode зарядки, микроамперы. Цель ≥ 5 ч держится в меню, анализаторе и играх. Осциллограф ~2,5 ч; резервы: LMX2572LP (−0,16 Вт), adc_curr HMCAD, выключение АЦП между захватами.</t>
  </si>
  <si>
    <t xml:space="preserve">Ключевые архитектурные решения (v2, 03.10.2026)</t>
  </si>
  <si>
    <t xml:space="preserve">Решение</t>
  </si>
  <si>
    <t xml:space="preserve">Загрузка профилей</t>
  </si>
  <si>
    <t xml:space="preserve">Golden-образ во флеше + слоты + IPROG, откат по CRC и watchdog. ESP управляет 5 В модуля (TPS61023 с настоящим отключением).</t>
  </si>
  <si>
    <t xml:space="preserve">На ПЛИС, 16 бит по карте NV3052C (D[20:16], D[13:8], D[4:0]), режим DE. В меню кадр рисует ESP (LVGL), в профиле экраном владеет профиль.</t>
  </si>
  <si>
    <t xml:space="preserve">Шина ESP↔ПЛИС</t>
  </si>
  <si>
    <t xml:space="preserve">Quad SPI 80 МГц через IO_MUX GPIO 9–14, ~40 МБ/с. Медленная SPI ПЛИС: экран, HMCAD, ADS1220, синтезатор.</t>
  </si>
  <si>
    <t xml:space="preserve">Домены питания</t>
  </si>
  <si>
    <t xml:space="preserve">3V3_FPGA включается вместе с модулем: логика панели, микрофон, усилитель, FT232H целиком. Выключенную ПЛИС ничто не подпитывает.</t>
  </si>
  <si>
    <t xml:space="preserve">Type-C без PD, BQ25601, ship mode, BQ27441. Одна кнопка: долгое нажатие выключает; 8–12 с без кабеля дают аппаратный сброс. RTC будит через QON.</t>
  </si>
  <si>
    <t xml:space="preserve">Силовые пины</t>
  </si>
  <si>
    <t xml:space="preserve">TPS55289 → S1 → шунт (INA228, INA241) → S2 → P2; P1 → S3. S1–S3: встречные N-MOSFET + VOM1271. CV/CC 0,8–20 В и сквозной измеритель до 20 В / 3 А. «Лом» для глитчинга.</t>
  </si>
  <si>
    <t xml:space="preserve">GL850G с OVP перед ним: ESP (CDC + диск SD) и FT232H (sigrok, ~40 МБ/с). Без OTG.</t>
  </si>
  <si>
    <t xml:space="preserve">HDMI полноразмерный, TMDS_33 с банка 14, TPD12S016; 480p, 720p60, 1080p30 (DDR 10:1).</t>
  </si>
  <si>
    <t xml:space="preserve">Всё на ПЛИС: PDM-микрофон, MAX98357A + динамик.</t>
  </si>
  <si>
    <t xml:space="preserve">Силикон RG35XX Plus: крестовина, F1–F4, Fn, Меню, Назад, колесо с нажатием, питание. TCA9555 ×2. LRA VL120628H + DRV2605L.</t>
  </si>
  <si>
    <t xml:space="preserve">2 разъёма 2×10 (A/B, MITM). SN74LXC1T45DCK на каждую линию, VCCIO 1,1–4,7 В авто или вручную. 150 Ом + BAV99 + активный шунт 5,2 В.</t>
  </si>
  <si>
    <t xml:space="preserve">Аналог</t>
  </si>
  <si>
    <t xml:space="preserve">На материнке: HMCAD1511 (2 × 500 MS/s), ADF4351, JFET-буферы, ступени TMUX6111, THS4541, ADS1220, генератор AD9744 + THS3091 на ±9 В (10 Впп / 5 Впп на 50 Ом).</t>
  </si>
  <si>
    <t xml:space="preserve">Мезонин</t>
  </si>
  <si>
    <t xml:space="preserve">Фронт: 3 SMA (CH1, CH2, GEN), делители и AC/DC на бистабильных G6KU, своя шина I2C и EEPROM. BergStak 2×40, стек 9 мм. ~12 линий ПЛИС для сервисных плат.</t>
  </si>
  <si>
    <t xml:space="preserve">Открытые вопросы и проверки до схемы (v2)</t>
  </si>
  <si>
    <t xml:space="preserve">Статус менять по мере закрытия</t>
  </si>
  <si>
    <t xml:space="preserve">Что сделать / проверить</t>
  </si>
  <si>
    <t xml:space="preserve">Когда</t>
  </si>
  <si>
    <t xml:space="preserve">Статус</t>
  </si>
  <si>
    <t xml:space="preserve">Speed grade ПЛИС: −1 (LVDS 950 Мбит/с) или −2 (1250)</t>
  </si>
  <si>
    <t xml:space="preserve">Когда приедет модуль</t>
  </si>
  <si>
    <t xml:space="preserve">открыт</t>
  </si>
  <si>
    <t xml:space="preserve">VCCO банков 34, 35, 15, 16; банку 34 нужно ≥ 2,5 В</t>
  </si>
  <si>
    <t xml:space="preserve">Ток модуля по 5 В: простой и нагрузка (TPS61023 ~1,8 А при 3,0 В)</t>
  </si>
  <si>
    <t xml:space="preserve">Контакты 51/53 (опечатка T4 в доке)</t>
  </si>
  <si>
    <t xml:space="preserve">Ключ края модуля: DDR2 или DDR1</t>
  </si>
  <si>
    <t xml:space="preserve">Прозвонить шлейф экрана 54 конт.: подсветка, питание, IOVCC, сторона контактов</t>
  </si>
  <si>
    <t xml:space="preserve">Сейчас</t>
  </si>
  <si>
    <t xml:space="preserve">Обновить модель корпуса: SO-DIMM 5,2 мм, ESP32-S3-WROOM-1, аналог под мезонином, мезонин-фронт с 3 SMA, BergStak, кнопка вместо PCM12, купола</t>
  </si>
  <si>
    <t xml:space="preserve">Найти и купить силиконовые накладки RG35XX Plus</t>
  </si>
  <si>
    <t xml:space="preserve">Купить 2× HMCAD1511 (ЧипСити)</t>
  </si>
  <si>
    <t xml:space="preserve">Первый тест на девборде: quad SPI 80 МГц ESP → ПЛИС</t>
  </si>
  <si>
    <t xml:space="preserve">Даташит на банку: напряжение заряда (G1A/G1B), ток, NTC</t>
  </si>
  <si>
    <t xml:space="preserve">Устойчивость активного шунта TLVH431 + BCP53 (SPICE) и импульсная стойкость PNP</t>
  </si>
  <si>
    <t xml:space="preserve">Схема</t>
  </si>
  <si>
    <t xml:space="preserve">Порог VIL QON с BAT54S на макете</t>
  </si>
  <si>
    <t xml:space="preserve">TMUX6111 при ±5 В: Ron и полоса</t>
  </si>
  <si>
    <t xml:space="preserve">Регистры SGM41511 побитно против BQ25601</t>
  </si>
  <si>
    <t xml:space="preserve">Актуальные ревизии: ADI на analog.com, GL850G, FT232H</t>
  </si>
  <si>
    <t xml:space="preserve">Тепло аналога на материнке под мезонином</t>
  </si>
  <si>
    <t xml:space="preserve">После компоновки</t>
  </si>
  <si>
    <t xml:space="preserve">Наличие в РФ: TPS55289, SN74LXC1T45DCK, BQ25601/SGM41511, AD9744, ADF4351, THS3091, THS4541, TMUX6111, VOM1271, G6KU-2F-Y</t>
  </si>
  <si>
    <t xml:space="preserve">Перед бартер-письмами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</si>
</sst>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E9E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BFCDE3"/>
        <bgColor rgb="FF99CCFF"/>
      </patternFill>
    </fill>
    <fill>
      <patternFill patternType="solid">
        <fgColor rgb="FFDDE6F2"/>
        <bgColor rgb="FFE8F4E0"/>
      </patternFill>
    </fill>
    <fill>
      <patternFill patternType="solid">
        <fgColor rgb="FFE8F4E0"/>
        <bgColor rgb="FFDDE6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E8F4E0"/>
      <rgbColor rgb="FFDDE6F2"/>
      <rgbColor rgb="FF660066"/>
      <rgbColor rgb="FFFF8080"/>
      <rgbColor rgb="FF0066CC"/>
      <rgbColor rgb="FFBFC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24"/>
    <col collapsed="false" customWidth="true" hidden="false" outlineLevel="0" max="6" min="6" style="0" width="7"/>
    <col collapsed="false" customWidth="true" hidden="false" outlineLevel="0" max="7" min="7" style="0" width="11"/>
    <col collapsed="false" customWidth="true" hidden="false" outlineLevel="0" max="9" min="8" style="0" width="10"/>
    <col collapsed="false" customWidth="true" hidden="false" outlineLevel="0" max="10" min="10" style="0" width="11"/>
    <col collapsed="false" customWidth="true" hidden="false" outlineLevel="0" max="11" min="11" style="0" width="22"/>
    <col collapsed="false" customWidth="true" hidden="false" outlineLevel="0" max="12" min="12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61.15" hidden="false" customHeight="false" outlineLevel="0" collapsed="false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</row>
    <row r="4" customFormat="false" ht="15" hidden="false" customHeight="false" outlineLevel="0" collapsed="false">
      <c r="A4" s="3" t="s">
        <v>14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customFormat="false" ht="31.3" hidden="false" customHeight="false" outlineLevel="0" collapsed="false">
      <c r="A5" s="5" t="n">
        <v>1</v>
      </c>
      <c r="B5" s="5" t="s">
        <v>14</v>
      </c>
      <c r="C5" s="5" t="s">
        <v>15</v>
      </c>
      <c r="D5" s="5" t="s">
        <v>16</v>
      </c>
      <c r="E5" s="5" t="s">
        <v>17</v>
      </c>
      <c r="F5" s="6" t="n">
        <v>1</v>
      </c>
      <c r="G5" s="6"/>
      <c r="H5" s="5"/>
      <c r="I5" s="5" t="s">
        <v>18</v>
      </c>
      <c r="J5" s="5"/>
      <c r="K5" s="5"/>
      <c r="L5" s="5" t="s">
        <v>19</v>
      </c>
    </row>
    <row r="6" customFormat="false" ht="31.3" hidden="false" customHeight="false" outlineLevel="0" collapsed="false">
      <c r="A6" s="5" t="n">
        <v>2</v>
      </c>
      <c r="B6" s="5" t="s">
        <v>14</v>
      </c>
      <c r="C6" s="5" t="s">
        <v>20</v>
      </c>
      <c r="D6" s="5" t="s">
        <v>21</v>
      </c>
      <c r="E6" s="5" t="s">
        <v>22</v>
      </c>
      <c r="F6" s="6" t="n">
        <v>1</v>
      </c>
      <c r="G6" s="6" t="n">
        <v>430</v>
      </c>
      <c r="H6" s="5" t="n">
        <f aca="false">F6*G6</f>
        <v>430</v>
      </c>
      <c r="I6" s="5" t="s">
        <v>23</v>
      </c>
      <c r="J6" s="5" t="s">
        <v>24</v>
      </c>
      <c r="K6" s="7" t="s">
        <v>25</v>
      </c>
      <c r="L6" s="5" t="s">
        <v>26</v>
      </c>
    </row>
    <row r="7" customFormat="false" ht="31.3" hidden="false" customHeight="false" outlineLevel="0" collapsed="false">
      <c r="A7" s="5" t="n">
        <v>3</v>
      </c>
      <c r="B7" s="5" t="s">
        <v>14</v>
      </c>
      <c r="C7" s="5" t="s">
        <v>27</v>
      </c>
      <c r="D7" s="5" t="s">
        <v>28</v>
      </c>
      <c r="E7" s="5" t="s">
        <v>17</v>
      </c>
      <c r="F7" s="6" t="n">
        <v>1</v>
      </c>
      <c r="G7" s="6" t="n">
        <v>380</v>
      </c>
      <c r="H7" s="5" t="n">
        <f aca="false">F7*G7</f>
        <v>380</v>
      </c>
      <c r="I7" s="5" t="s">
        <v>23</v>
      </c>
      <c r="J7" s="5"/>
      <c r="K7" s="5"/>
      <c r="L7" s="5" t="s">
        <v>29</v>
      </c>
    </row>
    <row r="8" customFormat="false" ht="16.4" hidden="false" customHeight="false" outlineLevel="0" collapsed="false">
      <c r="A8" s="5" t="n">
        <v>4</v>
      </c>
      <c r="B8" s="5" t="s">
        <v>14</v>
      </c>
      <c r="C8" s="5" t="s">
        <v>30</v>
      </c>
      <c r="D8" s="5" t="s">
        <v>31</v>
      </c>
      <c r="E8" s="5" t="s">
        <v>17</v>
      </c>
      <c r="F8" s="6" t="n">
        <v>1</v>
      </c>
      <c r="G8" s="6" t="n">
        <v>5</v>
      </c>
      <c r="H8" s="5" t="n">
        <f aca="false">F8*G8</f>
        <v>5</v>
      </c>
      <c r="I8" s="5" t="s">
        <v>23</v>
      </c>
      <c r="J8" s="5"/>
      <c r="K8" s="5"/>
      <c r="L8" s="5" t="s">
        <v>32</v>
      </c>
    </row>
    <row r="9" customFormat="false" ht="15" hidden="false" customHeight="false" outlineLevel="0" collapsed="false">
      <c r="A9" s="3" t="s">
        <v>33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</row>
    <row r="10" customFormat="false" ht="46.25" hidden="false" customHeight="false" outlineLevel="0" collapsed="false">
      <c r="A10" s="5" t="n">
        <v>5</v>
      </c>
      <c r="B10" s="5" t="s">
        <v>33</v>
      </c>
      <c r="C10" s="5" t="s">
        <v>34</v>
      </c>
      <c r="D10" s="5" t="s">
        <v>35</v>
      </c>
      <c r="E10" s="5" t="s">
        <v>36</v>
      </c>
      <c r="F10" s="6" t="n">
        <v>1</v>
      </c>
      <c r="G10" s="6" t="n">
        <v>100</v>
      </c>
      <c r="H10" s="5" t="n">
        <f aca="false">F10*G10</f>
        <v>100</v>
      </c>
      <c r="I10" s="5" t="s">
        <v>23</v>
      </c>
      <c r="J10" s="5"/>
      <c r="K10" s="5"/>
      <c r="L10" s="5" t="s">
        <v>37</v>
      </c>
    </row>
    <row r="11" customFormat="false" ht="16.4" hidden="false" customHeight="false" outlineLevel="0" collapsed="false">
      <c r="A11" s="5" t="n">
        <v>6</v>
      </c>
      <c r="B11" s="5" t="s">
        <v>33</v>
      </c>
      <c r="C11" s="5" t="s">
        <v>38</v>
      </c>
      <c r="D11" s="5" t="s">
        <v>39</v>
      </c>
      <c r="E11" s="5" t="s">
        <v>17</v>
      </c>
      <c r="F11" s="6" t="n">
        <v>1</v>
      </c>
      <c r="G11" s="6" t="n">
        <v>20</v>
      </c>
      <c r="H11" s="5" t="n">
        <f aca="false">F11*G11</f>
        <v>20</v>
      </c>
      <c r="I11" s="5" t="s">
        <v>23</v>
      </c>
      <c r="J11" s="5"/>
      <c r="K11" s="5"/>
      <c r="L11" s="5"/>
    </row>
    <row r="12" customFormat="false" ht="31.3" hidden="false" customHeight="false" outlineLevel="0" collapsed="false">
      <c r="A12" s="5" t="n">
        <v>7</v>
      </c>
      <c r="B12" s="5" t="s">
        <v>33</v>
      </c>
      <c r="C12" s="5" t="s">
        <v>40</v>
      </c>
      <c r="D12" s="5" t="s">
        <v>41</v>
      </c>
      <c r="E12" s="5" t="s">
        <v>17</v>
      </c>
      <c r="F12" s="6" t="n">
        <v>1</v>
      </c>
      <c r="G12" s="6" t="n">
        <v>800</v>
      </c>
      <c r="H12" s="5" t="n">
        <f aca="false">F12*G12</f>
        <v>800</v>
      </c>
      <c r="I12" s="5" t="s">
        <v>23</v>
      </c>
      <c r="J12" s="5"/>
      <c r="K12" s="5"/>
      <c r="L12" s="5" t="s">
        <v>42</v>
      </c>
    </row>
    <row r="13" customFormat="false" ht="31.3" hidden="false" customHeight="false" outlineLevel="0" collapsed="false">
      <c r="A13" s="5" t="n">
        <v>8</v>
      </c>
      <c r="B13" s="5" t="s">
        <v>33</v>
      </c>
      <c r="C13" s="5" t="s">
        <v>43</v>
      </c>
      <c r="D13" s="5" t="s">
        <v>44</v>
      </c>
      <c r="E13" s="5" t="s">
        <v>45</v>
      </c>
      <c r="F13" s="6" t="n">
        <v>1</v>
      </c>
      <c r="G13" s="6" t="n">
        <v>250</v>
      </c>
      <c r="H13" s="5" t="n">
        <f aca="false">F13*G13</f>
        <v>250</v>
      </c>
      <c r="I13" s="5" t="s">
        <v>23</v>
      </c>
      <c r="J13" s="5"/>
      <c r="K13" s="5"/>
      <c r="L13" s="5" t="s">
        <v>46</v>
      </c>
    </row>
    <row r="14" customFormat="false" ht="16.4" hidden="false" customHeight="false" outlineLevel="0" collapsed="false">
      <c r="A14" s="5" t="n">
        <v>9</v>
      </c>
      <c r="B14" s="5" t="s">
        <v>33</v>
      </c>
      <c r="C14" s="5" t="s">
        <v>47</v>
      </c>
      <c r="D14" s="5" t="s">
        <v>48</v>
      </c>
      <c r="E14" s="5" t="s">
        <v>49</v>
      </c>
      <c r="F14" s="6" t="n">
        <v>1</v>
      </c>
      <c r="G14" s="6" t="n">
        <v>120</v>
      </c>
      <c r="H14" s="5" t="n">
        <f aca="false">F14*G14</f>
        <v>120</v>
      </c>
      <c r="I14" s="5" t="s">
        <v>23</v>
      </c>
      <c r="J14" s="5"/>
      <c r="K14" s="5"/>
      <c r="L14" s="5" t="s">
        <v>50</v>
      </c>
    </row>
    <row r="15" customFormat="false" ht="31.3" hidden="false" customHeight="false" outlineLevel="0" collapsed="false">
      <c r="A15" s="5" t="n">
        <v>10</v>
      </c>
      <c r="B15" s="5" t="s">
        <v>33</v>
      </c>
      <c r="C15" s="5" t="s">
        <v>51</v>
      </c>
      <c r="D15" s="5" t="s">
        <v>52</v>
      </c>
      <c r="E15" s="5" t="s">
        <v>53</v>
      </c>
      <c r="F15" s="6" t="n">
        <v>1</v>
      </c>
      <c r="G15" s="6" t="n">
        <v>60</v>
      </c>
      <c r="H15" s="5" t="n">
        <f aca="false">F15*G15</f>
        <v>60</v>
      </c>
      <c r="I15" s="5" t="s">
        <v>23</v>
      </c>
      <c r="J15" s="5"/>
      <c r="K15" s="7" t="s">
        <v>54</v>
      </c>
      <c r="L15" s="5" t="s">
        <v>55</v>
      </c>
    </row>
    <row r="16" customFormat="false" ht="31.3" hidden="false" customHeight="false" outlineLevel="0" collapsed="false">
      <c r="A16" s="5" t="n">
        <v>11</v>
      </c>
      <c r="B16" s="5" t="s">
        <v>33</v>
      </c>
      <c r="C16" s="5" t="s">
        <v>56</v>
      </c>
      <c r="D16" s="5" t="s">
        <v>57</v>
      </c>
      <c r="E16" s="5" t="s">
        <v>17</v>
      </c>
      <c r="F16" s="6" t="n">
        <v>5</v>
      </c>
      <c r="G16" s="6" t="n">
        <v>25</v>
      </c>
      <c r="H16" s="5" t="n">
        <f aca="false">F16*G16</f>
        <v>125</v>
      </c>
      <c r="I16" s="5" t="s">
        <v>23</v>
      </c>
      <c r="J16" s="5"/>
      <c r="K16" s="5"/>
      <c r="L16" s="5"/>
    </row>
    <row r="17" customFormat="false" ht="16.4" hidden="false" customHeight="false" outlineLevel="0" collapsed="false">
      <c r="A17" s="5" t="n">
        <v>12</v>
      </c>
      <c r="B17" s="5" t="s">
        <v>33</v>
      </c>
      <c r="C17" s="5" t="s">
        <v>58</v>
      </c>
      <c r="D17" s="5" t="s">
        <v>59</v>
      </c>
      <c r="E17" s="5" t="s">
        <v>17</v>
      </c>
      <c r="F17" s="6" t="n">
        <v>1</v>
      </c>
      <c r="G17" s="6" t="n">
        <v>180</v>
      </c>
      <c r="H17" s="5" t="n">
        <f aca="false">F17*G17</f>
        <v>180</v>
      </c>
      <c r="I17" s="5" t="s">
        <v>60</v>
      </c>
      <c r="J17" s="5"/>
      <c r="K17" s="5"/>
      <c r="L17" s="5" t="s">
        <v>61</v>
      </c>
    </row>
    <row r="18" customFormat="false" ht="31.3" hidden="false" customHeight="false" outlineLevel="0" collapsed="false">
      <c r="A18" s="5" t="n">
        <v>13</v>
      </c>
      <c r="B18" s="5" t="s">
        <v>33</v>
      </c>
      <c r="C18" s="5" t="s">
        <v>62</v>
      </c>
      <c r="D18" s="5" t="s">
        <v>59</v>
      </c>
      <c r="E18" s="5" t="s">
        <v>17</v>
      </c>
      <c r="F18" s="6" t="n">
        <v>1</v>
      </c>
      <c r="G18" s="6" t="n">
        <v>180</v>
      </c>
      <c r="H18" s="5" t="n">
        <f aca="false">F18*G18</f>
        <v>180</v>
      </c>
      <c r="I18" s="5" t="s">
        <v>60</v>
      </c>
      <c r="J18" s="5"/>
      <c r="K18" s="7" t="s">
        <v>63</v>
      </c>
      <c r="L18" s="5" t="s">
        <v>64</v>
      </c>
    </row>
    <row r="19" customFormat="false" ht="31.3" hidden="false" customHeight="false" outlineLevel="0" collapsed="false">
      <c r="A19" s="5" t="n">
        <v>14</v>
      </c>
      <c r="B19" s="5" t="s">
        <v>33</v>
      </c>
      <c r="C19" s="5" t="s">
        <v>65</v>
      </c>
      <c r="D19" s="5" t="s">
        <v>66</v>
      </c>
      <c r="E19" s="5" t="s">
        <v>17</v>
      </c>
      <c r="F19" s="6" t="n">
        <v>1</v>
      </c>
      <c r="G19" s="6" t="n">
        <v>15</v>
      </c>
      <c r="H19" s="5" t="n">
        <f aca="false">F19*G19</f>
        <v>15</v>
      </c>
      <c r="I19" s="5" t="s">
        <v>23</v>
      </c>
      <c r="J19" s="5"/>
      <c r="K19" s="7" t="s">
        <v>67</v>
      </c>
      <c r="L19" s="5" t="s">
        <v>68</v>
      </c>
    </row>
    <row r="20" customFormat="false" ht="15" hidden="false" customHeight="false" outlineLevel="0" collapsed="false">
      <c r="A20" s="3" t="s">
        <v>69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customFormat="false" ht="31.3" hidden="false" customHeight="false" outlineLevel="0" collapsed="false">
      <c r="A21" s="5" t="n">
        <v>15</v>
      </c>
      <c r="B21" s="5" t="s">
        <v>69</v>
      </c>
      <c r="C21" s="5" t="s">
        <v>70</v>
      </c>
      <c r="D21" s="5" t="s">
        <v>71</v>
      </c>
      <c r="E21" s="5" t="s">
        <v>17</v>
      </c>
      <c r="F21" s="6" t="n">
        <v>1</v>
      </c>
      <c r="G21" s="6" t="n">
        <v>300</v>
      </c>
      <c r="H21" s="5" t="n">
        <f aca="false">F21*G21</f>
        <v>300</v>
      </c>
      <c r="I21" s="5" t="s">
        <v>60</v>
      </c>
      <c r="J21" s="5"/>
      <c r="K21" s="5"/>
      <c r="L21" s="5" t="s">
        <v>72</v>
      </c>
    </row>
    <row r="22" customFormat="false" ht="31.3" hidden="false" customHeight="false" outlineLevel="0" collapsed="false">
      <c r="A22" s="5" t="n">
        <v>16</v>
      </c>
      <c r="B22" s="5" t="s">
        <v>69</v>
      </c>
      <c r="C22" s="5" t="s">
        <v>73</v>
      </c>
      <c r="D22" s="5" t="s">
        <v>74</v>
      </c>
      <c r="E22" s="5" t="s">
        <v>75</v>
      </c>
      <c r="F22" s="6" t="n">
        <v>6</v>
      </c>
      <c r="G22" s="6" t="n">
        <v>40</v>
      </c>
      <c r="H22" s="5" t="n">
        <f aca="false">F22*G22</f>
        <v>240</v>
      </c>
      <c r="I22" s="5" t="s">
        <v>23</v>
      </c>
      <c r="J22" s="5" t="s">
        <v>76</v>
      </c>
      <c r="K22" s="7" t="s">
        <v>63</v>
      </c>
      <c r="L22" s="5" t="s">
        <v>77</v>
      </c>
    </row>
    <row r="23" customFormat="false" ht="31.3" hidden="false" customHeight="false" outlineLevel="0" collapsed="false">
      <c r="A23" s="5" t="n">
        <v>17</v>
      </c>
      <c r="B23" s="5" t="s">
        <v>69</v>
      </c>
      <c r="C23" s="5" t="s">
        <v>78</v>
      </c>
      <c r="D23" s="5" t="s">
        <v>79</v>
      </c>
      <c r="E23" s="5" t="s">
        <v>17</v>
      </c>
      <c r="F23" s="6" t="n">
        <v>3</v>
      </c>
      <c r="G23" s="6" t="n">
        <v>150</v>
      </c>
      <c r="H23" s="5" t="n">
        <f aca="false">F23*G23</f>
        <v>450</v>
      </c>
      <c r="I23" s="5" t="s">
        <v>60</v>
      </c>
      <c r="J23" s="5"/>
      <c r="K23" s="7" t="s">
        <v>63</v>
      </c>
      <c r="L23" s="5" t="s">
        <v>80</v>
      </c>
    </row>
    <row r="24" customFormat="false" ht="31.3" hidden="false" customHeight="false" outlineLevel="0" collapsed="false">
      <c r="A24" s="5" t="n">
        <v>18</v>
      </c>
      <c r="B24" s="5" t="s">
        <v>69</v>
      </c>
      <c r="C24" s="5" t="s">
        <v>81</v>
      </c>
      <c r="D24" s="5" t="s">
        <v>82</v>
      </c>
      <c r="E24" s="5" t="s">
        <v>83</v>
      </c>
      <c r="F24" s="6" t="n">
        <v>1</v>
      </c>
      <c r="G24" s="6" t="n">
        <v>350</v>
      </c>
      <c r="H24" s="5" t="n">
        <f aca="false">F24*G24</f>
        <v>350</v>
      </c>
      <c r="I24" s="5" t="s">
        <v>60</v>
      </c>
      <c r="J24" s="5"/>
      <c r="K24" s="5"/>
      <c r="L24" s="5" t="s">
        <v>84</v>
      </c>
    </row>
    <row r="25" customFormat="false" ht="31.3" hidden="false" customHeight="false" outlineLevel="0" collapsed="false">
      <c r="A25" s="5" t="n">
        <v>19</v>
      </c>
      <c r="B25" s="5" t="s">
        <v>69</v>
      </c>
      <c r="C25" s="5" t="s">
        <v>85</v>
      </c>
      <c r="D25" s="5" t="s">
        <v>86</v>
      </c>
      <c r="E25" s="5" t="s">
        <v>87</v>
      </c>
      <c r="F25" s="6" t="n">
        <v>1</v>
      </c>
      <c r="G25" s="6" t="n">
        <v>200</v>
      </c>
      <c r="H25" s="5" t="n">
        <f aca="false">F25*G25</f>
        <v>200</v>
      </c>
      <c r="I25" s="5" t="s">
        <v>60</v>
      </c>
      <c r="J25" s="5"/>
      <c r="K25" s="5"/>
      <c r="L25" s="5" t="s">
        <v>88</v>
      </c>
    </row>
    <row r="26" customFormat="false" ht="31.3" hidden="false" customHeight="false" outlineLevel="0" collapsed="false">
      <c r="A26" s="5" t="n">
        <v>20</v>
      </c>
      <c r="B26" s="5" t="s">
        <v>69</v>
      </c>
      <c r="C26" s="5" t="s">
        <v>89</v>
      </c>
      <c r="D26" s="5" t="s">
        <v>90</v>
      </c>
      <c r="E26" s="5" t="s">
        <v>91</v>
      </c>
      <c r="F26" s="6" t="n">
        <v>1</v>
      </c>
      <c r="G26" s="6" t="n">
        <v>80</v>
      </c>
      <c r="H26" s="5" t="n">
        <f aca="false">F26*G26</f>
        <v>80</v>
      </c>
      <c r="I26" s="5" t="s">
        <v>23</v>
      </c>
      <c r="J26" s="5"/>
      <c r="K26" s="7" t="s">
        <v>63</v>
      </c>
      <c r="L26" s="5" t="s">
        <v>92</v>
      </c>
    </row>
    <row r="27" customFormat="false" ht="31.3" hidden="false" customHeight="false" outlineLevel="0" collapsed="false">
      <c r="A27" s="5" t="n">
        <v>21</v>
      </c>
      <c r="B27" s="5" t="s">
        <v>69</v>
      </c>
      <c r="C27" s="5" t="s">
        <v>93</v>
      </c>
      <c r="D27" s="5" t="s">
        <v>94</v>
      </c>
      <c r="E27" s="5" t="s">
        <v>17</v>
      </c>
      <c r="F27" s="6" t="n">
        <v>1</v>
      </c>
      <c r="G27" s="6" t="n">
        <v>30</v>
      </c>
      <c r="H27" s="5" t="n">
        <f aca="false">F27*G27</f>
        <v>30</v>
      </c>
      <c r="I27" s="5" t="s">
        <v>23</v>
      </c>
      <c r="J27" s="5"/>
      <c r="K27" s="7" t="s">
        <v>63</v>
      </c>
      <c r="L27" s="5" t="s">
        <v>95</v>
      </c>
    </row>
    <row r="28" customFormat="false" ht="31.3" hidden="false" customHeight="false" outlineLevel="0" collapsed="false">
      <c r="A28" s="5" t="n">
        <v>22</v>
      </c>
      <c r="B28" s="5" t="s">
        <v>69</v>
      </c>
      <c r="C28" s="5" t="s">
        <v>96</v>
      </c>
      <c r="D28" s="5" t="s">
        <v>97</v>
      </c>
      <c r="E28" s="5" t="s">
        <v>17</v>
      </c>
      <c r="F28" s="6" t="n">
        <v>2</v>
      </c>
      <c r="G28" s="6" t="n">
        <v>15</v>
      </c>
      <c r="H28" s="5" t="n">
        <f aca="false">F28*G28</f>
        <v>30</v>
      </c>
      <c r="I28" s="5" t="s">
        <v>23</v>
      </c>
      <c r="J28" s="5"/>
      <c r="K28" s="7" t="s">
        <v>98</v>
      </c>
      <c r="L28" s="5" t="s">
        <v>99</v>
      </c>
    </row>
    <row r="29" customFormat="false" ht="31.3" hidden="false" customHeight="false" outlineLevel="0" collapsed="false">
      <c r="A29" s="5" t="n">
        <v>23</v>
      </c>
      <c r="B29" s="5" t="s">
        <v>69</v>
      </c>
      <c r="C29" s="5" t="s">
        <v>100</v>
      </c>
      <c r="D29" s="5" t="s">
        <v>101</v>
      </c>
      <c r="E29" s="5" t="s">
        <v>17</v>
      </c>
      <c r="F29" s="6" t="n">
        <v>1</v>
      </c>
      <c r="G29" s="6" t="n">
        <v>10</v>
      </c>
      <c r="H29" s="5" t="n">
        <f aca="false">F29*G29</f>
        <v>10</v>
      </c>
      <c r="I29" s="5" t="s">
        <v>23</v>
      </c>
      <c r="J29" s="5"/>
      <c r="K29" s="5"/>
      <c r="L29" s="5" t="s">
        <v>102</v>
      </c>
    </row>
    <row r="30" customFormat="false" ht="15" hidden="false" customHeight="false" outlineLevel="0" collapsed="false">
      <c r="A30" s="3" t="s">
        <v>103</v>
      </c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</row>
    <row r="31" customFormat="false" ht="31.3" hidden="false" customHeight="false" outlineLevel="0" collapsed="false">
      <c r="A31" s="5" t="n">
        <v>24</v>
      </c>
      <c r="B31" s="5" t="s">
        <v>103</v>
      </c>
      <c r="C31" s="5" t="s">
        <v>104</v>
      </c>
      <c r="D31" s="5" t="s">
        <v>105</v>
      </c>
      <c r="E31" s="5" t="s">
        <v>106</v>
      </c>
      <c r="F31" s="6" t="n">
        <v>1</v>
      </c>
      <c r="G31" s="6" t="n">
        <v>25</v>
      </c>
      <c r="H31" s="5" t="n">
        <f aca="false">F31*G31</f>
        <v>25</v>
      </c>
      <c r="I31" s="5" t="s">
        <v>23</v>
      </c>
      <c r="J31" s="5" t="s">
        <v>107</v>
      </c>
      <c r="K31" s="5"/>
      <c r="L31" s="5" t="s">
        <v>108</v>
      </c>
    </row>
    <row r="32" customFormat="false" ht="16.4" hidden="false" customHeight="false" outlineLevel="0" collapsed="false">
      <c r="A32" s="5" t="n">
        <v>25</v>
      </c>
      <c r="B32" s="5" t="s">
        <v>103</v>
      </c>
      <c r="C32" s="5" t="s">
        <v>109</v>
      </c>
      <c r="D32" s="5" t="s">
        <v>110</v>
      </c>
      <c r="E32" s="5" t="s">
        <v>111</v>
      </c>
      <c r="F32" s="6" t="n">
        <v>1</v>
      </c>
      <c r="G32" s="6" t="n">
        <v>15</v>
      </c>
      <c r="H32" s="5" t="n">
        <f aca="false">F32*G32</f>
        <v>15</v>
      </c>
      <c r="I32" s="5" t="s">
        <v>23</v>
      </c>
      <c r="J32" s="5"/>
      <c r="K32" s="5"/>
      <c r="L32" s="5"/>
    </row>
    <row r="33" customFormat="false" ht="31.3" hidden="false" customHeight="false" outlineLevel="0" collapsed="false">
      <c r="A33" s="5" t="n">
        <v>26</v>
      </c>
      <c r="B33" s="5" t="s">
        <v>103</v>
      </c>
      <c r="C33" s="5" t="s">
        <v>112</v>
      </c>
      <c r="D33" s="5" t="s">
        <v>113</v>
      </c>
      <c r="E33" s="5" t="s">
        <v>114</v>
      </c>
      <c r="F33" s="6" t="n">
        <v>1</v>
      </c>
      <c r="G33" s="6" t="n">
        <v>80</v>
      </c>
      <c r="H33" s="5" t="n">
        <f aca="false">F33*G33</f>
        <v>80</v>
      </c>
      <c r="I33" s="5" t="s">
        <v>23</v>
      </c>
      <c r="J33" s="5" t="s">
        <v>115</v>
      </c>
      <c r="K33" s="7" t="s">
        <v>116</v>
      </c>
      <c r="L33" s="5" t="s">
        <v>117</v>
      </c>
    </row>
    <row r="34" customFormat="false" ht="31.3" hidden="false" customHeight="false" outlineLevel="0" collapsed="false">
      <c r="A34" s="5" t="n">
        <v>27</v>
      </c>
      <c r="B34" s="5" t="s">
        <v>103</v>
      </c>
      <c r="C34" s="5" t="s">
        <v>118</v>
      </c>
      <c r="D34" s="5" t="s">
        <v>119</v>
      </c>
      <c r="E34" s="5" t="s">
        <v>120</v>
      </c>
      <c r="F34" s="6" t="n">
        <v>1</v>
      </c>
      <c r="G34" s="6" t="n">
        <v>60</v>
      </c>
      <c r="H34" s="5" t="n">
        <f aca="false">F34*G34</f>
        <v>60</v>
      </c>
      <c r="I34" s="5" t="s">
        <v>23</v>
      </c>
      <c r="J34" s="5"/>
      <c r="K34" s="5"/>
      <c r="L34" s="5" t="s">
        <v>121</v>
      </c>
    </row>
    <row r="35" customFormat="false" ht="16.4" hidden="false" customHeight="false" outlineLevel="0" collapsed="false">
      <c r="A35" s="5" t="n">
        <v>28</v>
      </c>
      <c r="B35" s="5" t="s">
        <v>103</v>
      </c>
      <c r="C35" s="5" t="s">
        <v>122</v>
      </c>
      <c r="D35" s="5" t="s">
        <v>123</v>
      </c>
      <c r="E35" s="5" t="s">
        <v>124</v>
      </c>
      <c r="F35" s="6" t="n">
        <v>1</v>
      </c>
      <c r="G35" s="6" t="n">
        <v>700</v>
      </c>
      <c r="H35" s="5" t="n">
        <f aca="false">F35*G35</f>
        <v>700</v>
      </c>
      <c r="I35" s="5" t="s">
        <v>23</v>
      </c>
      <c r="J35" s="5"/>
      <c r="K35" s="7" t="s">
        <v>125</v>
      </c>
      <c r="L35" s="5" t="s">
        <v>126</v>
      </c>
    </row>
    <row r="36" customFormat="false" ht="16.4" hidden="false" customHeight="false" outlineLevel="0" collapsed="false">
      <c r="A36" s="5" t="n">
        <v>29</v>
      </c>
      <c r="B36" s="5" t="s">
        <v>103</v>
      </c>
      <c r="C36" s="5" t="s">
        <v>127</v>
      </c>
      <c r="D36" s="5" t="s">
        <v>128</v>
      </c>
      <c r="E36" s="5" t="s">
        <v>17</v>
      </c>
      <c r="F36" s="6" t="n">
        <v>1</v>
      </c>
      <c r="G36" s="6" t="n">
        <v>20</v>
      </c>
      <c r="H36" s="5" t="n">
        <f aca="false">F36*G36</f>
        <v>20</v>
      </c>
      <c r="I36" s="5" t="s">
        <v>23</v>
      </c>
      <c r="J36" s="5"/>
      <c r="K36" s="5"/>
      <c r="L36" s="5" t="s">
        <v>129</v>
      </c>
    </row>
    <row r="37" customFormat="false" ht="15" hidden="false" customHeight="false" outlineLevel="0" collapsed="false">
      <c r="A37" s="3" t="s">
        <v>130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customFormat="false" ht="31.3" hidden="false" customHeight="false" outlineLevel="0" collapsed="false">
      <c r="A38" s="5" t="n">
        <v>30</v>
      </c>
      <c r="B38" s="5" t="s">
        <v>130</v>
      </c>
      <c r="C38" s="5" t="s">
        <v>131</v>
      </c>
      <c r="D38" s="5" t="s">
        <v>132</v>
      </c>
      <c r="E38" s="5" t="s">
        <v>17</v>
      </c>
      <c r="F38" s="6" t="n">
        <v>1</v>
      </c>
      <c r="G38" s="6"/>
      <c r="H38" s="5"/>
      <c r="I38" s="5" t="s">
        <v>18</v>
      </c>
      <c r="J38" s="5"/>
      <c r="K38" s="5"/>
      <c r="L38" s="5" t="s">
        <v>133</v>
      </c>
    </row>
    <row r="39" customFormat="false" ht="31.3" hidden="false" customHeight="false" outlineLevel="0" collapsed="false">
      <c r="A39" s="5" t="n">
        <v>31</v>
      </c>
      <c r="B39" s="5" t="s">
        <v>130</v>
      </c>
      <c r="C39" s="5" t="s">
        <v>134</v>
      </c>
      <c r="D39" s="5" t="s">
        <v>135</v>
      </c>
      <c r="E39" s="5" t="s">
        <v>136</v>
      </c>
      <c r="F39" s="6" t="n">
        <v>1</v>
      </c>
      <c r="G39" s="6" t="n">
        <v>25</v>
      </c>
      <c r="H39" s="5" t="n">
        <f aca="false">F39*G39</f>
        <v>25</v>
      </c>
      <c r="I39" s="5" t="s">
        <v>23</v>
      </c>
      <c r="J39" s="5" t="s">
        <v>137</v>
      </c>
      <c r="K39" s="5"/>
      <c r="L39" s="5" t="s">
        <v>138</v>
      </c>
    </row>
    <row r="40" customFormat="false" ht="31.3" hidden="false" customHeight="false" outlineLevel="0" collapsed="false">
      <c r="A40" s="5" t="n">
        <v>32</v>
      </c>
      <c r="B40" s="5" t="s">
        <v>130</v>
      </c>
      <c r="C40" s="5" t="s">
        <v>139</v>
      </c>
      <c r="D40" s="5" t="s">
        <v>140</v>
      </c>
      <c r="E40" s="5" t="s">
        <v>17</v>
      </c>
      <c r="F40" s="6" t="n">
        <v>1</v>
      </c>
      <c r="G40" s="6" t="n">
        <v>80</v>
      </c>
      <c r="H40" s="5" t="n">
        <f aca="false">F40*G40</f>
        <v>80</v>
      </c>
      <c r="I40" s="5" t="s">
        <v>23</v>
      </c>
      <c r="J40" s="5"/>
      <c r="K40" s="7" t="s">
        <v>141</v>
      </c>
      <c r="L40" s="5" t="s">
        <v>142</v>
      </c>
    </row>
    <row r="41" customFormat="false" ht="31.3" hidden="false" customHeight="false" outlineLevel="0" collapsed="false">
      <c r="A41" s="5" t="n">
        <v>33</v>
      </c>
      <c r="B41" s="5" t="s">
        <v>130</v>
      </c>
      <c r="C41" s="5" t="s">
        <v>143</v>
      </c>
      <c r="D41" s="5" t="s">
        <v>144</v>
      </c>
      <c r="E41" s="5" t="s">
        <v>17</v>
      </c>
      <c r="F41" s="6" t="n">
        <v>1</v>
      </c>
      <c r="G41" s="6" t="n">
        <v>30</v>
      </c>
      <c r="H41" s="5" t="n">
        <f aca="false">F41*G41</f>
        <v>30</v>
      </c>
      <c r="I41" s="5" t="s">
        <v>23</v>
      </c>
      <c r="J41" s="5" t="s">
        <v>145</v>
      </c>
      <c r="K41" s="5"/>
      <c r="L41" s="5" t="s">
        <v>146</v>
      </c>
    </row>
    <row r="42" customFormat="false" ht="16.4" hidden="false" customHeight="false" outlineLevel="0" collapsed="false">
      <c r="A42" s="5" t="n">
        <v>34</v>
      </c>
      <c r="B42" s="5" t="s">
        <v>130</v>
      </c>
      <c r="C42" s="5" t="s">
        <v>147</v>
      </c>
      <c r="D42" s="5" t="s">
        <v>148</v>
      </c>
      <c r="E42" s="5" t="s">
        <v>17</v>
      </c>
      <c r="F42" s="6" t="n">
        <v>1</v>
      </c>
      <c r="G42" s="6" t="n">
        <v>120</v>
      </c>
      <c r="H42" s="5" t="n">
        <f aca="false">F42*G42</f>
        <v>120</v>
      </c>
      <c r="I42" s="5" t="s">
        <v>23</v>
      </c>
      <c r="J42" s="5"/>
      <c r="K42" s="5"/>
      <c r="L42" s="5" t="s">
        <v>149</v>
      </c>
    </row>
    <row r="43" customFormat="false" ht="15" hidden="false" customHeight="false" outlineLevel="0" collapsed="false">
      <c r="A43" s="3" t="s">
        <v>150</v>
      </c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</row>
    <row r="44" customFormat="false" ht="31.3" hidden="false" customHeight="false" outlineLevel="0" collapsed="false">
      <c r="A44" s="5" t="n">
        <v>35</v>
      </c>
      <c r="B44" s="5" t="s">
        <v>150</v>
      </c>
      <c r="C44" s="5" t="s">
        <v>151</v>
      </c>
      <c r="D44" s="5" t="s">
        <v>152</v>
      </c>
      <c r="E44" s="5" t="s">
        <v>153</v>
      </c>
      <c r="F44" s="6" t="n">
        <v>2</v>
      </c>
      <c r="G44" s="6" t="n">
        <v>30</v>
      </c>
      <c r="H44" s="5" t="n">
        <f aca="false">F44*G44</f>
        <v>60</v>
      </c>
      <c r="I44" s="5" t="s">
        <v>23</v>
      </c>
      <c r="J44" s="5"/>
      <c r="K44" s="7" t="s">
        <v>154</v>
      </c>
      <c r="L44" s="5" t="s">
        <v>155</v>
      </c>
    </row>
    <row r="45" customFormat="false" ht="31.3" hidden="false" customHeight="false" outlineLevel="0" collapsed="false">
      <c r="A45" s="5" t="n">
        <v>36</v>
      </c>
      <c r="B45" s="5" t="s">
        <v>150</v>
      </c>
      <c r="C45" s="5" t="s">
        <v>156</v>
      </c>
      <c r="D45" s="5" t="s">
        <v>157</v>
      </c>
      <c r="E45" s="5" t="s">
        <v>158</v>
      </c>
      <c r="F45" s="6" t="n">
        <v>1</v>
      </c>
      <c r="G45" s="6" t="n">
        <v>300</v>
      </c>
      <c r="H45" s="5" t="n">
        <f aca="false">F45*G45</f>
        <v>300</v>
      </c>
      <c r="I45" s="5" t="s">
        <v>23</v>
      </c>
      <c r="J45" s="5"/>
      <c r="K45" s="5"/>
      <c r="L45" s="5" t="s">
        <v>159</v>
      </c>
    </row>
    <row r="46" customFormat="false" ht="16.4" hidden="false" customHeight="false" outlineLevel="0" collapsed="false">
      <c r="A46" s="5" t="n">
        <v>37</v>
      </c>
      <c r="B46" s="5" t="s">
        <v>150</v>
      </c>
      <c r="C46" s="5" t="s">
        <v>160</v>
      </c>
      <c r="D46" s="5" t="s">
        <v>161</v>
      </c>
      <c r="E46" s="5" t="s">
        <v>162</v>
      </c>
      <c r="F46" s="6" t="n">
        <v>1</v>
      </c>
      <c r="G46" s="6" t="n">
        <v>35</v>
      </c>
      <c r="H46" s="5" t="n">
        <f aca="false">F46*G46</f>
        <v>35</v>
      </c>
      <c r="I46" s="5" t="s">
        <v>23</v>
      </c>
      <c r="J46" s="5" t="s">
        <v>163</v>
      </c>
      <c r="K46" s="5"/>
      <c r="L46" s="5" t="s">
        <v>164</v>
      </c>
    </row>
    <row r="47" customFormat="false" ht="16.4" hidden="false" customHeight="false" outlineLevel="0" collapsed="false">
      <c r="A47" s="5" t="n">
        <v>38</v>
      </c>
      <c r="B47" s="5" t="s">
        <v>150</v>
      </c>
      <c r="C47" s="5" t="s">
        <v>165</v>
      </c>
      <c r="D47" s="5" t="s">
        <v>166</v>
      </c>
      <c r="E47" s="5" t="s">
        <v>167</v>
      </c>
      <c r="F47" s="6" t="n">
        <v>1</v>
      </c>
      <c r="G47" s="6" t="n">
        <v>12</v>
      </c>
      <c r="H47" s="5" t="n">
        <f aca="false">F47*G47</f>
        <v>12</v>
      </c>
      <c r="I47" s="5" t="s">
        <v>23</v>
      </c>
      <c r="J47" s="5" t="s">
        <v>168</v>
      </c>
      <c r="K47" s="5"/>
      <c r="L47" s="5"/>
    </row>
    <row r="48" customFormat="false" ht="15" hidden="false" customHeight="false" outlineLevel="0" collapsed="false">
      <c r="A48" s="3" t="s">
        <v>169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  <row r="49" customFormat="false" ht="31.3" hidden="false" customHeight="false" outlineLevel="0" collapsed="false">
      <c r="A49" s="5" t="n">
        <v>39</v>
      </c>
      <c r="B49" s="5" t="s">
        <v>169</v>
      </c>
      <c r="C49" s="5" t="s">
        <v>170</v>
      </c>
      <c r="D49" s="5" t="s">
        <v>171</v>
      </c>
      <c r="E49" s="5" t="s">
        <v>172</v>
      </c>
      <c r="F49" s="6" t="n">
        <v>1</v>
      </c>
      <c r="G49" s="6" t="n">
        <v>90</v>
      </c>
      <c r="H49" s="5" t="n">
        <f aca="false">F49*G49</f>
        <v>90</v>
      </c>
      <c r="I49" s="5" t="s">
        <v>23</v>
      </c>
      <c r="J49" s="5" t="s">
        <v>173</v>
      </c>
      <c r="K49" s="7" t="s">
        <v>174</v>
      </c>
      <c r="L49" s="5" t="s">
        <v>175</v>
      </c>
    </row>
    <row r="50" customFormat="false" ht="16.4" hidden="false" customHeight="false" outlineLevel="0" collapsed="false">
      <c r="A50" s="5" t="n">
        <v>40</v>
      </c>
      <c r="B50" s="5" t="s">
        <v>169</v>
      </c>
      <c r="C50" s="5" t="s">
        <v>176</v>
      </c>
      <c r="D50" s="5" t="s">
        <v>177</v>
      </c>
      <c r="E50" s="5" t="s">
        <v>17</v>
      </c>
      <c r="F50" s="6" t="n">
        <v>1</v>
      </c>
      <c r="G50" s="6" t="n">
        <v>100</v>
      </c>
      <c r="H50" s="5" t="n">
        <f aca="false">F50*G50</f>
        <v>100</v>
      </c>
      <c r="I50" s="5" t="s">
        <v>23</v>
      </c>
      <c r="J50" s="5"/>
      <c r="K50" s="7" t="s">
        <v>178</v>
      </c>
      <c r="L50" s="5" t="s">
        <v>179</v>
      </c>
    </row>
    <row r="51" customFormat="false" ht="16.4" hidden="false" customHeight="false" outlineLevel="0" collapsed="false">
      <c r="A51" s="5" t="n">
        <v>41</v>
      </c>
      <c r="B51" s="5" t="s">
        <v>169</v>
      </c>
      <c r="C51" s="5" t="s">
        <v>180</v>
      </c>
      <c r="D51" s="5" t="s">
        <v>181</v>
      </c>
      <c r="E51" s="5" t="s">
        <v>17</v>
      </c>
      <c r="F51" s="6" t="n">
        <v>1</v>
      </c>
      <c r="G51" s="6" t="n">
        <v>50</v>
      </c>
      <c r="H51" s="5" t="n">
        <f aca="false">F51*G51</f>
        <v>50</v>
      </c>
      <c r="I51" s="5" t="s">
        <v>23</v>
      </c>
      <c r="J51" s="5"/>
      <c r="K51" s="5"/>
      <c r="L51" s="5"/>
    </row>
    <row r="52" customFormat="false" ht="16.4" hidden="false" customHeight="false" outlineLevel="0" collapsed="false">
      <c r="A52" s="5" t="n">
        <v>42</v>
      </c>
      <c r="B52" s="5" t="s">
        <v>169</v>
      </c>
      <c r="C52" s="5" t="s">
        <v>182</v>
      </c>
      <c r="D52" s="5" t="s">
        <v>183</v>
      </c>
      <c r="E52" s="5" t="s">
        <v>17</v>
      </c>
      <c r="F52" s="6" t="n">
        <v>1</v>
      </c>
      <c r="G52" s="6" t="n">
        <v>200</v>
      </c>
      <c r="H52" s="5" t="n">
        <f aca="false">F52*G52</f>
        <v>200</v>
      </c>
      <c r="I52" s="5" t="s">
        <v>23</v>
      </c>
      <c r="J52" s="5"/>
      <c r="K52" s="5"/>
      <c r="L52" s="5" t="s">
        <v>184</v>
      </c>
    </row>
    <row r="53" customFormat="false" ht="16.4" hidden="false" customHeight="false" outlineLevel="0" collapsed="false">
      <c r="A53" s="5" t="n">
        <v>43</v>
      </c>
      <c r="B53" s="5" t="s">
        <v>169</v>
      </c>
      <c r="C53" s="5" t="s">
        <v>185</v>
      </c>
      <c r="D53" s="5" t="s">
        <v>186</v>
      </c>
      <c r="E53" s="5" t="s">
        <v>187</v>
      </c>
      <c r="F53" s="6" t="n">
        <v>1</v>
      </c>
      <c r="G53" s="6" t="n">
        <v>150</v>
      </c>
      <c r="H53" s="5" t="n">
        <f aca="false">F53*G53</f>
        <v>150</v>
      </c>
      <c r="I53" s="5" t="s">
        <v>23</v>
      </c>
      <c r="J53" s="5"/>
      <c r="K53" s="7" t="s">
        <v>188</v>
      </c>
      <c r="L53" s="5" t="s">
        <v>189</v>
      </c>
    </row>
    <row r="54" customFormat="false" ht="15" hidden="false" customHeight="false" outlineLevel="0" collapsed="false">
      <c r="A54" s="3" t="s">
        <v>190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</row>
    <row r="55" customFormat="false" ht="31.3" hidden="false" customHeight="false" outlineLevel="0" collapsed="false">
      <c r="A55" s="5" t="n">
        <v>44</v>
      </c>
      <c r="B55" s="5" t="s">
        <v>190</v>
      </c>
      <c r="C55" s="5" t="s">
        <v>191</v>
      </c>
      <c r="D55" s="5" t="s">
        <v>192</v>
      </c>
      <c r="E55" s="5" t="s">
        <v>193</v>
      </c>
      <c r="F55" s="6" t="n">
        <v>1</v>
      </c>
      <c r="G55" s="6" t="n">
        <v>130</v>
      </c>
      <c r="H55" s="5" t="n">
        <f aca="false">F55*G55</f>
        <v>130</v>
      </c>
      <c r="I55" s="5" t="s">
        <v>23</v>
      </c>
      <c r="J55" s="5" t="s">
        <v>194</v>
      </c>
      <c r="K55" s="5"/>
      <c r="L55" s="5" t="s">
        <v>195</v>
      </c>
    </row>
    <row r="56" customFormat="false" ht="31.3" hidden="false" customHeight="false" outlineLevel="0" collapsed="false">
      <c r="A56" s="5" t="n">
        <v>45</v>
      </c>
      <c r="B56" s="5" t="s">
        <v>190</v>
      </c>
      <c r="C56" s="5" t="s">
        <v>196</v>
      </c>
      <c r="D56" s="5" t="s">
        <v>197</v>
      </c>
      <c r="E56" s="5" t="s">
        <v>198</v>
      </c>
      <c r="F56" s="6" t="n">
        <v>1</v>
      </c>
      <c r="G56" s="6" t="n">
        <v>25</v>
      </c>
      <c r="H56" s="5" t="n">
        <f aca="false">F56*G56</f>
        <v>25</v>
      </c>
      <c r="I56" s="5" t="s">
        <v>23</v>
      </c>
      <c r="J56" s="5"/>
      <c r="K56" s="5"/>
      <c r="L56" s="5" t="s">
        <v>199</v>
      </c>
    </row>
    <row r="57" customFormat="false" ht="15" hidden="false" customHeight="false" outlineLevel="0" collapsed="false">
      <c r="A57" s="3" t="s">
        <v>200</v>
      </c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</row>
    <row r="58" customFormat="false" ht="31.3" hidden="false" customHeight="false" outlineLevel="0" collapsed="false">
      <c r="A58" s="5" t="n">
        <v>46</v>
      </c>
      <c r="B58" s="5" t="s">
        <v>200</v>
      </c>
      <c r="C58" s="5" t="s">
        <v>201</v>
      </c>
      <c r="D58" s="5" t="s">
        <v>202</v>
      </c>
      <c r="E58" s="5" t="s">
        <v>203</v>
      </c>
      <c r="F58" s="6" t="n">
        <v>20</v>
      </c>
      <c r="G58" s="6" t="n">
        <v>35</v>
      </c>
      <c r="H58" s="5" t="n">
        <f aca="false">F58*G58</f>
        <v>700</v>
      </c>
      <c r="I58" s="5" t="s">
        <v>60</v>
      </c>
      <c r="J58" s="5"/>
      <c r="K58" s="7" t="s">
        <v>204</v>
      </c>
      <c r="L58" s="5" t="s">
        <v>205</v>
      </c>
    </row>
    <row r="59" customFormat="false" ht="31.3" hidden="false" customHeight="false" outlineLevel="0" collapsed="false">
      <c r="A59" s="5" t="n">
        <v>47</v>
      </c>
      <c r="B59" s="5" t="s">
        <v>200</v>
      </c>
      <c r="C59" s="5" t="s">
        <v>206</v>
      </c>
      <c r="D59" s="5" t="s">
        <v>207</v>
      </c>
      <c r="E59" s="5" t="s">
        <v>17</v>
      </c>
      <c r="F59" s="6" t="n">
        <v>20</v>
      </c>
      <c r="G59" s="6" t="n">
        <v>5</v>
      </c>
      <c r="H59" s="5" t="n">
        <f aca="false">F59*G59</f>
        <v>100</v>
      </c>
      <c r="I59" s="5" t="s">
        <v>23</v>
      </c>
      <c r="J59" s="5"/>
      <c r="K59" s="7" t="s">
        <v>208</v>
      </c>
      <c r="L59" s="5" t="s">
        <v>209</v>
      </c>
    </row>
    <row r="60" customFormat="false" ht="16.4" hidden="false" customHeight="false" outlineLevel="0" collapsed="false">
      <c r="A60" s="5" t="n">
        <v>48</v>
      </c>
      <c r="B60" s="5" t="s">
        <v>200</v>
      </c>
      <c r="C60" s="5" t="s">
        <v>210</v>
      </c>
      <c r="D60" s="5" t="s">
        <v>211</v>
      </c>
      <c r="E60" s="5" t="s">
        <v>17</v>
      </c>
      <c r="F60" s="6" t="n">
        <v>20</v>
      </c>
      <c r="G60" s="6" t="n">
        <v>3</v>
      </c>
      <c r="H60" s="5" t="n">
        <f aca="false">F60*G60</f>
        <v>60</v>
      </c>
      <c r="I60" s="5" t="s">
        <v>23</v>
      </c>
      <c r="J60" s="5"/>
      <c r="K60" s="5"/>
      <c r="L60" s="5" t="s">
        <v>212</v>
      </c>
    </row>
    <row r="61" customFormat="false" ht="16.4" hidden="false" customHeight="false" outlineLevel="0" collapsed="false">
      <c r="A61" s="5" t="n">
        <v>49</v>
      </c>
      <c r="B61" s="5" t="s">
        <v>200</v>
      </c>
      <c r="C61" s="5" t="s">
        <v>213</v>
      </c>
      <c r="D61" s="5" t="s">
        <v>214</v>
      </c>
      <c r="E61" s="5" t="s">
        <v>17</v>
      </c>
      <c r="F61" s="6" t="n">
        <v>2</v>
      </c>
      <c r="G61" s="6" t="n">
        <v>10</v>
      </c>
      <c r="H61" s="5" t="n">
        <f aca="false">F61*G61</f>
        <v>20</v>
      </c>
      <c r="I61" s="5" t="s">
        <v>23</v>
      </c>
      <c r="J61" s="5"/>
      <c r="K61" s="7" t="s">
        <v>215</v>
      </c>
      <c r="L61" s="5"/>
    </row>
    <row r="62" customFormat="false" ht="31.3" hidden="false" customHeight="false" outlineLevel="0" collapsed="false">
      <c r="A62" s="5" t="n">
        <v>50</v>
      </c>
      <c r="B62" s="5" t="s">
        <v>200</v>
      </c>
      <c r="C62" s="5" t="s">
        <v>216</v>
      </c>
      <c r="D62" s="5" t="s">
        <v>217</v>
      </c>
      <c r="E62" s="5" t="s">
        <v>218</v>
      </c>
      <c r="F62" s="6" t="n">
        <v>2</v>
      </c>
      <c r="G62" s="6" t="n">
        <v>30</v>
      </c>
      <c r="H62" s="5" t="n">
        <f aca="false">F62*G62</f>
        <v>60</v>
      </c>
      <c r="I62" s="5" t="s">
        <v>23</v>
      </c>
      <c r="J62" s="5" t="s">
        <v>219</v>
      </c>
      <c r="K62" s="7" t="s">
        <v>63</v>
      </c>
      <c r="L62" s="5" t="s">
        <v>220</v>
      </c>
    </row>
    <row r="63" customFormat="false" ht="31.3" hidden="false" customHeight="false" outlineLevel="0" collapsed="false">
      <c r="A63" s="5" t="n">
        <v>51</v>
      </c>
      <c r="B63" s="5" t="s">
        <v>200</v>
      </c>
      <c r="C63" s="5" t="s">
        <v>221</v>
      </c>
      <c r="D63" s="5" t="s">
        <v>222</v>
      </c>
      <c r="E63" s="5" t="s">
        <v>17</v>
      </c>
      <c r="F63" s="6" t="n">
        <v>2</v>
      </c>
      <c r="G63" s="6" t="n">
        <v>20</v>
      </c>
      <c r="H63" s="5" t="n">
        <f aca="false">F63*G63</f>
        <v>40</v>
      </c>
      <c r="I63" s="5" t="s">
        <v>23</v>
      </c>
      <c r="J63" s="5"/>
      <c r="K63" s="5"/>
      <c r="L63" s="5" t="s">
        <v>223</v>
      </c>
    </row>
    <row r="64" customFormat="false" ht="31.3" hidden="false" customHeight="false" outlineLevel="0" collapsed="false">
      <c r="A64" s="5" t="n">
        <v>52</v>
      </c>
      <c r="B64" s="5" t="s">
        <v>200</v>
      </c>
      <c r="C64" s="5" t="s">
        <v>224</v>
      </c>
      <c r="D64" s="5" t="s">
        <v>225</v>
      </c>
      <c r="E64" s="5" t="s">
        <v>17</v>
      </c>
      <c r="F64" s="6" t="n">
        <v>1</v>
      </c>
      <c r="G64" s="6" t="n">
        <v>120</v>
      </c>
      <c r="H64" s="5" t="n">
        <f aca="false">F64*G64</f>
        <v>120</v>
      </c>
      <c r="I64" s="5" t="s">
        <v>60</v>
      </c>
      <c r="J64" s="5"/>
      <c r="K64" s="7" t="s">
        <v>226</v>
      </c>
      <c r="L64" s="5" t="s">
        <v>227</v>
      </c>
    </row>
    <row r="65" customFormat="false" ht="31.3" hidden="false" customHeight="false" outlineLevel="0" collapsed="false">
      <c r="A65" s="5" t="n">
        <v>53</v>
      </c>
      <c r="B65" s="5" t="s">
        <v>200</v>
      </c>
      <c r="C65" s="5" t="s">
        <v>228</v>
      </c>
      <c r="D65" s="5" t="s">
        <v>229</v>
      </c>
      <c r="E65" s="5" t="s">
        <v>230</v>
      </c>
      <c r="F65" s="6" t="n">
        <v>2</v>
      </c>
      <c r="G65" s="6" t="n">
        <v>20</v>
      </c>
      <c r="H65" s="5" t="n">
        <f aca="false">F65*G65</f>
        <v>40</v>
      </c>
      <c r="I65" s="5" t="s">
        <v>23</v>
      </c>
      <c r="J65" s="5"/>
      <c r="K65" s="5"/>
      <c r="L65" s="5" t="s">
        <v>231</v>
      </c>
    </row>
    <row r="66" customFormat="false" ht="16.4" hidden="false" customHeight="false" outlineLevel="0" collapsed="false">
      <c r="A66" s="5" t="n">
        <v>54</v>
      </c>
      <c r="B66" s="5" t="s">
        <v>200</v>
      </c>
      <c r="C66" s="5" t="s">
        <v>232</v>
      </c>
      <c r="D66" s="5" t="s">
        <v>233</v>
      </c>
      <c r="E66" s="5" t="s">
        <v>17</v>
      </c>
      <c r="F66" s="6" t="n">
        <v>5</v>
      </c>
      <c r="G66" s="6" t="n">
        <v>5</v>
      </c>
      <c r="H66" s="5" t="n">
        <f aca="false">F66*G66</f>
        <v>25</v>
      </c>
      <c r="I66" s="5" t="s">
        <v>23</v>
      </c>
      <c r="J66" s="5"/>
      <c r="K66" s="5"/>
      <c r="L66" s="5"/>
    </row>
    <row r="67" customFormat="false" ht="16.4" hidden="false" customHeight="false" outlineLevel="0" collapsed="false">
      <c r="A67" s="5" t="n">
        <v>55</v>
      </c>
      <c r="B67" s="5" t="s">
        <v>200</v>
      </c>
      <c r="C67" s="5" t="s">
        <v>234</v>
      </c>
      <c r="D67" s="5" t="s">
        <v>57</v>
      </c>
      <c r="E67" s="5" t="s">
        <v>235</v>
      </c>
      <c r="F67" s="6" t="n">
        <v>2</v>
      </c>
      <c r="G67" s="6" t="n">
        <v>25</v>
      </c>
      <c r="H67" s="5" t="n">
        <f aca="false">F67*G67</f>
        <v>50</v>
      </c>
      <c r="I67" s="5" t="s">
        <v>23</v>
      </c>
      <c r="J67" s="5"/>
      <c r="K67" s="5"/>
      <c r="L67" s="5"/>
    </row>
    <row r="68" customFormat="false" ht="16.4" hidden="false" customHeight="false" outlineLevel="0" collapsed="false">
      <c r="A68" s="5" t="n">
        <v>56</v>
      </c>
      <c r="B68" s="5" t="s">
        <v>200</v>
      </c>
      <c r="C68" s="5" t="s">
        <v>236</v>
      </c>
      <c r="D68" s="5" t="s">
        <v>237</v>
      </c>
      <c r="E68" s="5" t="s">
        <v>17</v>
      </c>
      <c r="F68" s="6" t="n">
        <v>2</v>
      </c>
      <c r="G68" s="6" t="n">
        <v>15</v>
      </c>
      <c r="H68" s="5" t="n">
        <f aca="false">F68*G68</f>
        <v>30</v>
      </c>
      <c r="I68" s="5" t="s">
        <v>23</v>
      </c>
      <c r="J68" s="5"/>
      <c r="K68" s="5"/>
      <c r="L68" s="5" t="s">
        <v>238</v>
      </c>
    </row>
    <row r="69" customFormat="false" ht="15" hidden="false" customHeight="false" outlineLevel="0" collapsed="false">
      <c r="A69" s="3" t="s">
        <v>239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</row>
    <row r="70" customFormat="false" ht="61.15" hidden="false" customHeight="false" outlineLevel="0" collapsed="false">
      <c r="A70" s="5" t="n">
        <v>57</v>
      </c>
      <c r="B70" s="5" t="s">
        <v>239</v>
      </c>
      <c r="C70" s="5" t="s">
        <v>240</v>
      </c>
      <c r="D70" s="5" t="s">
        <v>241</v>
      </c>
      <c r="E70" s="5" t="s">
        <v>17</v>
      </c>
      <c r="F70" s="6" t="n">
        <v>2</v>
      </c>
      <c r="G70" s="6" t="n">
        <v>2164</v>
      </c>
      <c r="H70" s="5" t="n">
        <f aca="false">F70*G70</f>
        <v>4328</v>
      </c>
      <c r="I70" s="5" t="s">
        <v>23</v>
      </c>
      <c r="J70" s="5"/>
      <c r="K70" s="7" t="s">
        <v>242</v>
      </c>
      <c r="L70" s="5" t="s">
        <v>243</v>
      </c>
    </row>
    <row r="71" customFormat="false" ht="61.15" hidden="false" customHeight="false" outlineLevel="0" collapsed="false">
      <c r="A71" s="5" t="n">
        <v>58</v>
      </c>
      <c r="B71" s="5" t="s">
        <v>239</v>
      </c>
      <c r="C71" s="5" t="s">
        <v>244</v>
      </c>
      <c r="D71" s="5" t="s">
        <v>245</v>
      </c>
      <c r="E71" s="5" t="s">
        <v>17</v>
      </c>
      <c r="F71" s="6" t="n">
        <v>10</v>
      </c>
      <c r="G71" s="6" t="n">
        <v>1</v>
      </c>
      <c r="H71" s="5" t="n">
        <f aca="false">F71*G71</f>
        <v>10</v>
      </c>
      <c r="I71" s="5" t="s">
        <v>23</v>
      </c>
      <c r="J71" s="5"/>
      <c r="K71" s="7" t="s">
        <v>242</v>
      </c>
      <c r="L71" s="5"/>
    </row>
    <row r="72" customFormat="false" ht="61.15" hidden="false" customHeight="false" outlineLevel="0" collapsed="false">
      <c r="A72" s="5" t="n">
        <v>59</v>
      </c>
      <c r="B72" s="5" t="s">
        <v>239</v>
      </c>
      <c r="C72" s="5" t="s">
        <v>246</v>
      </c>
      <c r="D72" s="5" t="s">
        <v>247</v>
      </c>
      <c r="E72" s="5" t="s">
        <v>248</v>
      </c>
      <c r="F72" s="6" t="n">
        <v>1</v>
      </c>
      <c r="G72" s="6" t="n">
        <v>800</v>
      </c>
      <c r="H72" s="5" t="n">
        <f aca="false">F72*G72</f>
        <v>800</v>
      </c>
      <c r="I72" s="5" t="s">
        <v>60</v>
      </c>
      <c r="J72" s="5"/>
      <c r="K72" s="7" t="s">
        <v>242</v>
      </c>
      <c r="L72" s="5" t="s">
        <v>249</v>
      </c>
    </row>
    <row r="73" customFormat="false" ht="61.15" hidden="false" customHeight="false" outlineLevel="0" collapsed="false">
      <c r="A73" s="5" t="n">
        <v>60</v>
      </c>
      <c r="B73" s="5" t="s">
        <v>239</v>
      </c>
      <c r="C73" s="5" t="s">
        <v>250</v>
      </c>
      <c r="D73" s="5" t="s">
        <v>251</v>
      </c>
      <c r="E73" s="5" t="s">
        <v>252</v>
      </c>
      <c r="F73" s="6" t="n">
        <v>1</v>
      </c>
      <c r="G73" s="6" t="n">
        <v>60</v>
      </c>
      <c r="H73" s="5" t="n">
        <f aca="false">F73*G73</f>
        <v>60</v>
      </c>
      <c r="I73" s="5" t="s">
        <v>23</v>
      </c>
      <c r="J73" s="5"/>
      <c r="K73" s="7" t="s">
        <v>63</v>
      </c>
      <c r="L73" s="5" t="s">
        <v>253</v>
      </c>
    </row>
    <row r="74" customFormat="false" ht="61.15" hidden="false" customHeight="false" outlineLevel="0" collapsed="false">
      <c r="A74" s="5" t="n">
        <v>61</v>
      </c>
      <c r="B74" s="5" t="s">
        <v>239</v>
      </c>
      <c r="C74" s="5" t="s">
        <v>254</v>
      </c>
      <c r="D74" s="5" t="s">
        <v>255</v>
      </c>
      <c r="E74" s="5" t="s">
        <v>256</v>
      </c>
      <c r="F74" s="6" t="n">
        <v>1</v>
      </c>
      <c r="G74" s="6" t="n">
        <v>240</v>
      </c>
      <c r="H74" s="5" t="n">
        <f aca="false">F74*G74</f>
        <v>240</v>
      </c>
      <c r="I74" s="5" t="s">
        <v>60</v>
      </c>
      <c r="J74" s="5"/>
      <c r="K74" s="7" t="s">
        <v>257</v>
      </c>
      <c r="L74" s="5" t="s">
        <v>258</v>
      </c>
    </row>
    <row r="75" customFormat="false" ht="61.15" hidden="false" customHeight="false" outlineLevel="0" collapsed="false">
      <c r="A75" s="5" t="n">
        <v>62</v>
      </c>
      <c r="B75" s="5" t="s">
        <v>239</v>
      </c>
      <c r="C75" s="5" t="s">
        <v>259</v>
      </c>
      <c r="D75" s="5" t="s">
        <v>260</v>
      </c>
      <c r="E75" s="5" t="s">
        <v>261</v>
      </c>
      <c r="F75" s="6" t="n">
        <v>2</v>
      </c>
      <c r="G75" s="6" t="n">
        <v>30</v>
      </c>
      <c r="H75" s="5" t="n">
        <f aca="false">F75*G75</f>
        <v>60</v>
      </c>
      <c r="I75" s="5" t="s">
        <v>23</v>
      </c>
      <c r="J75" s="5" t="s">
        <v>262</v>
      </c>
      <c r="K75" s="7" t="s">
        <v>263</v>
      </c>
      <c r="L75" s="5" t="s">
        <v>264</v>
      </c>
    </row>
    <row r="76" customFormat="false" ht="61.15" hidden="false" customHeight="false" outlineLevel="0" collapsed="false">
      <c r="A76" s="5" t="n">
        <v>63</v>
      </c>
      <c r="B76" s="5" t="s">
        <v>239</v>
      </c>
      <c r="C76" s="5" t="s">
        <v>265</v>
      </c>
      <c r="D76" s="5" t="s">
        <v>266</v>
      </c>
      <c r="E76" s="5" t="s">
        <v>267</v>
      </c>
      <c r="F76" s="6" t="n">
        <v>2</v>
      </c>
      <c r="G76" s="6" t="n">
        <v>250</v>
      </c>
      <c r="H76" s="5" t="n">
        <f aca="false">F76*G76</f>
        <v>500</v>
      </c>
      <c r="I76" s="5" t="s">
        <v>60</v>
      </c>
      <c r="J76" s="5"/>
      <c r="K76" s="7" t="s">
        <v>268</v>
      </c>
      <c r="L76" s="5" t="s">
        <v>269</v>
      </c>
    </row>
    <row r="77" customFormat="false" ht="61.15" hidden="false" customHeight="false" outlineLevel="0" collapsed="false">
      <c r="A77" s="5" t="n">
        <v>64</v>
      </c>
      <c r="B77" s="5" t="s">
        <v>239</v>
      </c>
      <c r="C77" s="5" t="s">
        <v>270</v>
      </c>
      <c r="D77" s="5" t="s">
        <v>271</v>
      </c>
      <c r="E77" s="5" t="s">
        <v>272</v>
      </c>
      <c r="F77" s="6" t="n">
        <v>2</v>
      </c>
      <c r="G77" s="6" t="n">
        <v>300</v>
      </c>
      <c r="H77" s="5" t="n">
        <f aca="false">F77*G77</f>
        <v>600</v>
      </c>
      <c r="I77" s="5" t="s">
        <v>60</v>
      </c>
      <c r="J77" s="5"/>
      <c r="K77" s="5"/>
      <c r="L77" s="5" t="s">
        <v>273</v>
      </c>
    </row>
    <row r="78" customFormat="false" ht="61.15" hidden="false" customHeight="false" outlineLevel="0" collapsed="false">
      <c r="A78" s="5" t="n">
        <v>65</v>
      </c>
      <c r="B78" s="5" t="s">
        <v>239</v>
      </c>
      <c r="C78" s="5" t="s">
        <v>274</v>
      </c>
      <c r="D78" s="5" t="s">
        <v>275</v>
      </c>
      <c r="E78" s="5" t="s">
        <v>17</v>
      </c>
      <c r="F78" s="6" t="n">
        <v>1</v>
      </c>
      <c r="G78" s="6" t="n">
        <v>300</v>
      </c>
      <c r="H78" s="5" t="n">
        <f aca="false">F78*G78</f>
        <v>300</v>
      </c>
      <c r="I78" s="5" t="s">
        <v>60</v>
      </c>
      <c r="J78" s="5"/>
      <c r="K78" s="7" t="s">
        <v>276</v>
      </c>
      <c r="L78" s="5" t="s">
        <v>277</v>
      </c>
    </row>
    <row r="79" customFormat="false" ht="61.15" hidden="false" customHeight="false" outlineLevel="0" collapsed="false">
      <c r="A79" s="5" t="n">
        <v>66</v>
      </c>
      <c r="B79" s="5" t="s">
        <v>239</v>
      </c>
      <c r="C79" s="5" t="s">
        <v>278</v>
      </c>
      <c r="D79" s="5" t="s">
        <v>279</v>
      </c>
      <c r="E79" s="5" t="s">
        <v>17</v>
      </c>
      <c r="F79" s="6" t="n">
        <v>1</v>
      </c>
      <c r="G79" s="6" t="n">
        <v>300</v>
      </c>
      <c r="H79" s="5" t="n">
        <f aca="false">F79*G79</f>
        <v>300</v>
      </c>
      <c r="I79" s="5" t="s">
        <v>60</v>
      </c>
      <c r="J79" s="5"/>
      <c r="K79" s="7" t="s">
        <v>242</v>
      </c>
      <c r="L79" s="5" t="s">
        <v>280</v>
      </c>
    </row>
    <row r="80" customFormat="false" ht="61.15" hidden="false" customHeight="false" outlineLevel="0" collapsed="false">
      <c r="A80" s="5" t="n">
        <v>67</v>
      </c>
      <c r="B80" s="5" t="s">
        <v>239</v>
      </c>
      <c r="C80" s="5" t="s">
        <v>281</v>
      </c>
      <c r="D80" s="5" t="s">
        <v>282</v>
      </c>
      <c r="E80" s="5" t="s">
        <v>283</v>
      </c>
      <c r="F80" s="6" t="n">
        <v>1</v>
      </c>
      <c r="G80" s="6" t="n">
        <v>900</v>
      </c>
      <c r="H80" s="5" t="n">
        <f aca="false">F80*G80</f>
        <v>900</v>
      </c>
      <c r="I80" s="5" t="s">
        <v>60</v>
      </c>
      <c r="J80" s="5"/>
      <c r="K80" s="7" t="s">
        <v>242</v>
      </c>
      <c r="L80" s="5" t="s">
        <v>284</v>
      </c>
    </row>
    <row r="81" customFormat="false" ht="61.15" hidden="false" customHeight="false" outlineLevel="0" collapsed="false">
      <c r="A81" s="5" t="n">
        <v>68</v>
      </c>
      <c r="B81" s="5" t="s">
        <v>239</v>
      </c>
      <c r="C81" s="5" t="s">
        <v>285</v>
      </c>
      <c r="D81" s="5" t="s">
        <v>286</v>
      </c>
      <c r="E81" s="5" t="s">
        <v>17</v>
      </c>
      <c r="F81" s="6" t="n">
        <v>1</v>
      </c>
      <c r="G81" s="6" t="n">
        <v>150</v>
      </c>
      <c r="H81" s="5" t="n">
        <f aca="false">F81*G81</f>
        <v>150</v>
      </c>
      <c r="I81" s="5" t="s">
        <v>23</v>
      </c>
      <c r="J81" s="5"/>
      <c r="K81" s="7" t="s">
        <v>242</v>
      </c>
      <c r="L81" s="5"/>
    </row>
    <row r="82" customFormat="false" ht="61.15" hidden="false" customHeight="false" outlineLevel="0" collapsed="false">
      <c r="A82" s="5" t="n">
        <v>69</v>
      </c>
      <c r="B82" s="5" t="s">
        <v>239</v>
      </c>
      <c r="C82" s="5" t="s">
        <v>287</v>
      </c>
      <c r="D82" s="5" t="s">
        <v>288</v>
      </c>
      <c r="E82" s="5" t="s">
        <v>17</v>
      </c>
      <c r="F82" s="6" t="n">
        <v>1</v>
      </c>
      <c r="G82" s="6" t="n">
        <v>500</v>
      </c>
      <c r="H82" s="5" t="n">
        <f aca="false">F82*G82</f>
        <v>500</v>
      </c>
      <c r="I82" s="5" t="s">
        <v>60</v>
      </c>
      <c r="J82" s="5"/>
      <c r="K82" s="7" t="s">
        <v>289</v>
      </c>
      <c r="L82" s="5" t="s">
        <v>290</v>
      </c>
    </row>
    <row r="83" customFormat="false" ht="61.15" hidden="false" customHeight="false" outlineLevel="0" collapsed="false">
      <c r="A83" s="5" t="n">
        <v>70</v>
      </c>
      <c r="B83" s="5" t="s">
        <v>239</v>
      </c>
      <c r="C83" s="5" t="s">
        <v>291</v>
      </c>
      <c r="D83" s="5" t="s">
        <v>275</v>
      </c>
      <c r="E83" s="5" t="s">
        <v>17</v>
      </c>
      <c r="F83" s="6" t="n">
        <v>1</v>
      </c>
      <c r="G83" s="6" t="n">
        <v>300</v>
      </c>
      <c r="H83" s="5" t="n">
        <f aca="false">F83*G83</f>
        <v>300</v>
      </c>
      <c r="I83" s="5" t="s">
        <v>60</v>
      </c>
      <c r="J83" s="5"/>
      <c r="K83" s="7" t="s">
        <v>63</v>
      </c>
      <c r="L83" s="5" t="s">
        <v>292</v>
      </c>
    </row>
    <row r="84" customFormat="false" ht="15" hidden="false" customHeight="false" outlineLevel="0" collapsed="false">
      <c r="A84" s="3" t="s">
        <v>293</v>
      </c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</row>
    <row r="85" customFormat="false" ht="31.3" hidden="false" customHeight="false" outlineLevel="0" collapsed="false">
      <c r="A85" s="5" t="n">
        <v>71</v>
      </c>
      <c r="B85" s="5" t="s">
        <v>293</v>
      </c>
      <c r="C85" s="5" t="s">
        <v>294</v>
      </c>
      <c r="D85" s="5" t="s">
        <v>295</v>
      </c>
      <c r="E85" s="5" t="s">
        <v>296</v>
      </c>
      <c r="F85" s="6" t="n">
        <v>1</v>
      </c>
      <c r="G85" s="6" t="n">
        <v>170</v>
      </c>
      <c r="H85" s="5" t="n">
        <f aca="false">F85*G85</f>
        <v>170</v>
      </c>
      <c r="I85" s="5" t="s">
        <v>23</v>
      </c>
      <c r="J85" s="5" t="s">
        <v>297</v>
      </c>
      <c r="K85" s="7" t="s">
        <v>298</v>
      </c>
      <c r="L85" s="5" t="s">
        <v>299</v>
      </c>
    </row>
    <row r="86" customFormat="false" ht="15" hidden="false" customHeight="false" outlineLevel="0" collapsed="false">
      <c r="A86" s="3" t="s">
        <v>300</v>
      </c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</row>
    <row r="87" customFormat="false" ht="31.3" hidden="false" customHeight="false" outlineLevel="0" collapsed="false">
      <c r="A87" s="5" t="n">
        <v>72</v>
      </c>
      <c r="B87" s="5" t="s">
        <v>300</v>
      </c>
      <c r="C87" s="5" t="s">
        <v>301</v>
      </c>
      <c r="D87" s="5" t="s">
        <v>17</v>
      </c>
      <c r="E87" s="5" t="s">
        <v>17</v>
      </c>
      <c r="F87" s="6" t="n">
        <v>1</v>
      </c>
      <c r="G87" s="6" t="n">
        <v>2200</v>
      </c>
      <c r="H87" s="5" t="n">
        <f aca="false">F87*G87</f>
        <v>2200</v>
      </c>
      <c r="I87" s="5" t="s">
        <v>23</v>
      </c>
      <c r="J87" s="5"/>
      <c r="K87" s="7" t="s">
        <v>302</v>
      </c>
      <c r="L87" s="5" t="s">
        <v>303</v>
      </c>
    </row>
    <row r="89" customFormat="false" ht="15" hidden="false" customHeight="false" outlineLevel="0" collapsed="false">
      <c r="G89" s="8" t="s">
        <v>304</v>
      </c>
      <c r="H89" s="8" t="n">
        <f aca="false">SUM(H4:H87)</f>
        <v>19325</v>
      </c>
    </row>
    <row r="90" customFormat="false" ht="15" hidden="false" customHeight="false" outlineLevel="0" collapsed="false">
      <c r="G90" s="0" t="s">
        <v>305</v>
      </c>
      <c r="H90" s="0" t="n">
        <f aca="false">SUMIF(I4:I87,"бартер?",H4:H87)</f>
        <v>6920</v>
      </c>
    </row>
    <row r="91" customFormat="false" ht="15" hidden="false" customHeight="false" outlineLevel="0" collapsed="false">
      <c r="G91" s="0" t="s">
        <v>306</v>
      </c>
      <c r="H91" s="0" t="n">
        <f aca="false">SUMIF(I4:I87,"купить",H4:H87)</f>
        <v>12405</v>
      </c>
    </row>
    <row r="93" customFormat="false" ht="15" hidden="false" customHeight="false" outlineLevel="0" collapsed="false">
      <c r="A93" s="0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34"/>
    <col collapsed="false" customWidth="true" hidden="false" outlineLevel="0" max="5" min="5" style="0" width="24"/>
    <col collapsed="false" customWidth="true" hidden="false" outlineLevel="0" max="6" min="6" style="0" width="7"/>
    <col collapsed="false" customWidth="true" hidden="false" outlineLevel="0" max="7" min="7" style="0" width="11"/>
    <col collapsed="false" customWidth="true" hidden="false" outlineLevel="0" max="9" min="8" style="0" width="10"/>
    <col collapsed="false" customWidth="true" hidden="false" outlineLevel="0" max="10" min="10" style="0" width="11"/>
    <col collapsed="false" customWidth="true" hidden="false" outlineLevel="0" max="11" min="11" style="0" width="22"/>
    <col collapsed="false" customWidth="true" hidden="false" outlineLevel="0" max="12" min="12" style="0" width="52"/>
  </cols>
  <sheetData>
    <row r="1" customFormat="false" ht="17.35" hidden="false" customHeight="false" outlineLevel="0" collapsed="false">
      <c r="A1" s="1" t="s">
        <v>308</v>
      </c>
    </row>
    <row r="2" customFormat="false" ht="15" hidden="false" customHeight="false" outlineLevel="0" collapsed="false">
      <c r="A2" s="0" t="s">
        <v>309</v>
      </c>
    </row>
    <row r="3" customFormat="false" ht="61.15" hidden="false" customHeight="false" outlineLevel="0" collapsed="false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</row>
    <row r="4" customFormat="false" ht="15" hidden="false" customHeight="false" outlineLevel="0" collapsed="false">
      <c r="A4" s="3" t="s">
        <v>310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customFormat="false" ht="31.3" hidden="false" customHeight="false" outlineLevel="0" collapsed="false">
      <c r="A5" s="5" t="n">
        <v>1</v>
      </c>
      <c r="B5" s="5" t="s">
        <v>310</v>
      </c>
      <c r="C5" s="5" t="s">
        <v>311</v>
      </c>
      <c r="D5" s="5" t="s">
        <v>312</v>
      </c>
      <c r="E5" s="5" t="s">
        <v>313</v>
      </c>
      <c r="F5" s="6" t="n">
        <v>3</v>
      </c>
      <c r="G5" s="6" t="n">
        <v>380</v>
      </c>
      <c r="H5" s="5" t="n">
        <f aca="false">F5*G5</f>
        <v>1140</v>
      </c>
      <c r="I5" s="5" t="s">
        <v>23</v>
      </c>
      <c r="J5" s="5" t="s">
        <v>314</v>
      </c>
      <c r="K5" s="7" t="s">
        <v>315</v>
      </c>
      <c r="L5" s="5" t="s">
        <v>316</v>
      </c>
    </row>
    <row r="6" customFormat="false" ht="31.3" hidden="false" customHeight="false" outlineLevel="0" collapsed="false">
      <c r="A6" s="5" t="n">
        <v>2</v>
      </c>
      <c r="B6" s="5" t="s">
        <v>310</v>
      </c>
      <c r="C6" s="5" t="s">
        <v>317</v>
      </c>
      <c r="D6" s="5" t="s">
        <v>318</v>
      </c>
      <c r="E6" s="5" t="s">
        <v>319</v>
      </c>
      <c r="F6" s="6" t="n">
        <v>5</v>
      </c>
      <c r="G6" s="6" t="n">
        <v>250</v>
      </c>
      <c r="H6" s="5" t="n">
        <f aca="false">F6*G6</f>
        <v>1250</v>
      </c>
      <c r="I6" s="5" t="s">
        <v>60</v>
      </c>
      <c r="J6" s="5" t="s">
        <v>320</v>
      </c>
      <c r="K6" s="7" t="s">
        <v>321</v>
      </c>
      <c r="L6" s="5" t="s">
        <v>322</v>
      </c>
    </row>
    <row r="7" customFormat="false" ht="16.4" hidden="false" customHeight="false" outlineLevel="0" collapsed="false">
      <c r="A7" s="5" t="n">
        <v>3</v>
      </c>
      <c r="B7" s="5" t="s">
        <v>310</v>
      </c>
      <c r="C7" s="5" t="s">
        <v>323</v>
      </c>
      <c r="D7" s="5" t="s">
        <v>324</v>
      </c>
      <c r="E7" s="5" t="s">
        <v>325</v>
      </c>
      <c r="F7" s="6" t="n">
        <v>5</v>
      </c>
      <c r="G7" s="6" t="n">
        <v>30</v>
      </c>
      <c r="H7" s="5" t="n">
        <f aca="false">F7*G7</f>
        <v>150</v>
      </c>
      <c r="I7" s="5" t="s">
        <v>23</v>
      </c>
      <c r="J7" s="5" t="s">
        <v>326</v>
      </c>
      <c r="K7" s="7" t="s">
        <v>63</v>
      </c>
      <c r="L7" s="5" t="s">
        <v>327</v>
      </c>
    </row>
    <row r="8" customFormat="false" ht="31.3" hidden="false" customHeight="false" outlineLevel="0" collapsed="false">
      <c r="A8" s="5" t="n">
        <v>4</v>
      </c>
      <c r="B8" s="5" t="s">
        <v>310</v>
      </c>
      <c r="C8" s="5" t="s">
        <v>328</v>
      </c>
      <c r="D8" s="5" t="s">
        <v>329</v>
      </c>
      <c r="E8" s="5" t="s">
        <v>17</v>
      </c>
      <c r="F8" s="6" t="n">
        <v>2</v>
      </c>
      <c r="G8" s="6" t="n">
        <v>50</v>
      </c>
      <c r="H8" s="5" t="n">
        <f aca="false">F8*G8</f>
        <v>100</v>
      </c>
      <c r="I8" s="5" t="s">
        <v>23</v>
      </c>
      <c r="J8" s="5"/>
      <c r="K8" s="7" t="s">
        <v>63</v>
      </c>
      <c r="L8" s="5" t="s">
        <v>330</v>
      </c>
    </row>
    <row r="9" customFormat="false" ht="16.4" hidden="false" customHeight="false" outlineLevel="0" collapsed="false">
      <c r="A9" s="5" t="n">
        <v>5</v>
      </c>
      <c r="B9" s="5" t="s">
        <v>310</v>
      </c>
      <c r="C9" s="5" t="s">
        <v>331</v>
      </c>
      <c r="D9" s="5" t="s">
        <v>332</v>
      </c>
      <c r="E9" s="5" t="s">
        <v>333</v>
      </c>
      <c r="F9" s="6" t="n">
        <v>2</v>
      </c>
      <c r="G9" s="6" t="n">
        <v>10</v>
      </c>
      <c r="H9" s="5" t="n">
        <f aca="false">F9*G9</f>
        <v>20</v>
      </c>
      <c r="I9" s="5" t="s">
        <v>23</v>
      </c>
      <c r="J9" s="5"/>
      <c r="K9" s="7" t="s">
        <v>63</v>
      </c>
      <c r="L9" s="5" t="s">
        <v>334</v>
      </c>
    </row>
    <row r="10" customFormat="false" ht="15" hidden="false" customHeight="false" outlineLevel="0" collapsed="false">
      <c r="A10" s="3" t="s">
        <v>335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customFormat="false" ht="16.4" hidden="false" customHeight="false" outlineLevel="0" collapsed="false">
      <c r="A11" s="5" t="n">
        <v>6</v>
      </c>
      <c r="B11" s="5" t="s">
        <v>335</v>
      </c>
      <c r="C11" s="5" t="s">
        <v>336</v>
      </c>
      <c r="D11" s="5" t="s">
        <v>152</v>
      </c>
      <c r="E11" s="5" t="s">
        <v>17</v>
      </c>
      <c r="F11" s="6" t="n">
        <v>1</v>
      </c>
      <c r="G11" s="6" t="n">
        <v>30</v>
      </c>
      <c r="H11" s="5" t="n">
        <f aca="false">F11*G11</f>
        <v>30</v>
      </c>
      <c r="I11" s="5" t="s">
        <v>23</v>
      </c>
      <c r="J11" s="5"/>
      <c r="K11" s="7" t="s">
        <v>154</v>
      </c>
      <c r="L11" s="5" t="s">
        <v>337</v>
      </c>
    </row>
    <row r="12" customFormat="false" ht="16.4" hidden="false" customHeight="false" outlineLevel="0" collapsed="false">
      <c r="A12" s="5" t="n">
        <v>7</v>
      </c>
      <c r="B12" s="5" t="s">
        <v>335</v>
      </c>
      <c r="C12" s="5" t="s">
        <v>338</v>
      </c>
      <c r="D12" s="5" t="s">
        <v>339</v>
      </c>
      <c r="E12" s="5" t="s">
        <v>17</v>
      </c>
      <c r="F12" s="6" t="n">
        <v>1</v>
      </c>
      <c r="G12" s="6" t="n">
        <v>10</v>
      </c>
      <c r="H12" s="5" t="n">
        <f aca="false">F12*G12</f>
        <v>10</v>
      </c>
      <c r="I12" s="5" t="s">
        <v>23</v>
      </c>
      <c r="J12" s="5"/>
      <c r="K12" s="5"/>
      <c r="L12" s="5" t="s">
        <v>340</v>
      </c>
    </row>
    <row r="13" customFormat="false" ht="31.3" hidden="false" customHeight="false" outlineLevel="0" collapsed="false">
      <c r="A13" s="5" t="n">
        <v>8</v>
      </c>
      <c r="B13" s="5" t="s">
        <v>335</v>
      </c>
      <c r="C13" s="5" t="s">
        <v>341</v>
      </c>
      <c r="D13" s="5" t="s">
        <v>342</v>
      </c>
      <c r="E13" s="5" t="s">
        <v>17</v>
      </c>
      <c r="F13" s="6" t="n">
        <v>1</v>
      </c>
      <c r="G13" s="6" t="n">
        <v>160</v>
      </c>
      <c r="H13" s="5" t="n">
        <f aca="false">F13*G13</f>
        <v>160</v>
      </c>
      <c r="I13" s="5" t="s">
        <v>23</v>
      </c>
      <c r="J13" s="5" t="s">
        <v>343</v>
      </c>
      <c r="K13" s="7" t="s">
        <v>344</v>
      </c>
      <c r="L13" s="5" t="s">
        <v>345</v>
      </c>
    </row>
    <row r="14" customFormat="false" ht="16.4" hidden="false" customHeight="false" outlineLevel="0" collapsed="false">
      <c r="A14" s="5" t="n">
        <v>9</v>
      </c>
      <c r="B14" s="5" t="s">
        <v>335</v>
      </c>
      <c r="C14" s="5" t="s">
        <v>346</v>
      </c>
      <c r="D14" s="5" t="s">
        <v>17</v>
      </c>
      <c r="E14" s="5" t="s">
        <v>17</v>
      </c>
      <c r="F14" s="6" t="n">
        <v>1</v>
      </c>
      <c r="G14" s="6" t="n">
        <v>300</v>
      </c>
      <c r="H14" s="5" t="n">
        <f aca="false">F14*G14</f>
        <v>300</v>
      </c>
      <c r="I14" s="5" t="s">
        <v>23</v>
      </c>
      <c r="J14" s="5"/>
      <c r="K14" s="5"/>
      <c r="L14" s="5"/>
    </row>
    <row r="16" customFormat="false" ht="15" hidden="false" customHeight="false" outlineLevel="0" collapsed="false">
      <c r="G16" s="8" t="s">
        <v>304</v>
      </c>
      <c r="H16" s="8" t="n">
        <f aca="false">SUM(H4:H14)</f>
        <v>3160</v>
      </c>
    </row>
    <row r="17" customFormat="false" ht="15" hidden="false" customHeight="false" outlineLevel="0" collapsed="false">
      <c r="G17" s="0" t="s">
        <v>305</v>
      </c>
      <c r="H17" s="0" t="n">
        <f aca="false">SUMIF(I4:I14,"бартер?",H4:H14)</f>
        <v>1250</v>
      </c>
    </row>
    <row r="18" customFormat="false" ht="15" hidden="false" customHeight="false" outlineLevel="0" collapsed="false">
      <c r="G18" s="0" t="s">
        <v>306</v>
      </c>
      <c r="H18" s="0" t="n">
        <f aca="false">SUMIF(I4:I14,"купить",H4:H14)</f>
        <v>1910</v>
      </c>
    </row>
    <row r="20" customFormat="false" ht="15" hidden="false" customHeight="false" outlineLevel="0" collapsed="false">
      <c r="A20" s="0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4" min="4" style="0" width="40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347</v>
      </c>
    </row>
    <row r="2" customFormat="false" ht="15" hidden="false" customHeight="false" outlineLevel="0" collapsed="false">
      <c r="A2" s="0" t="s">
        <v>348</v>
      </c>
    </row>
    <row r="3" customFormat="false" ht="16.4" hidden="false" customHeight="false" outlineLevel="0" collapsed="false">
      <c r="A3" s="2" t="s">
        <v>349</v>
      </c>
      <c r="B3" s="2" t="s">
        <v>350</v>
      </c>
      <c r="C3" s="2" t="s">
        <v>351</v>
      </c>
      <c r="D3" s="2" t="s">
        <v>352</v>
      </c>
      <c r="E3" s="2" t="s">
        <v>353</v>
      </c>
    </row>
    <row r="4" customFormat="false" ht="16.4" hidden="false" customHeight="false" outlineLevel="0" collapsed="false">
      <c r="A4" s="5" t="s">
        <v>354</v>
      </c>
      <c r="B4" s="5" t="n">
        <v>18</v>
      </c>
      <c r="C4" s="5" t="s">
        <v>355</v>
      </c>
      <c r="D4" s="5" t="s">
        <v>356</v>
      </c>
      <c r="E4" s="5" t="s">
        <v>357</v>
      </c>
    </row>
    <row r="5" customFormat="false" ht="16.4" hidden="false" customHeight="false" outlineLevel="0" collapsed="false">
      <c r="A5" s="5" t="s">
        <v>358</v>
      </c>
      <c r="B5" s="5" t="n">
        <v>1</v>
      </c>
      <c r="C5" s="5" t="s">
        <v>359</v>
      </c>
      <c r="D5" s="5"/>
      <c r="E5" s="5"/>
    </row>
    <row r="6" customFormat="false" ht="31.3" hidden="false" customHeight="false" outlineLevel="0" collapsed="false">
      <c r="A6" s="5" t="s">
        <v>360</v>
      </c>
      <c r="B6" s="5" t="n">
        <v>6</v>
      </c>
      <c r="C6" s="5" t="s">
        <v>361</v>
      </c>
      <c r="D6" s="5"/>
      <c r="E6" s="5" t="s">
        <v>362</v>
      </c>
    </row>
    <row r="7" customFormat="false" ht="31.3" hidden="false" customHeight="false" outlineLevel="0" collapsed="false">
      <c r="A7" s="5" t="s">
        <v>363</v>
      </c>
      <c r="B7" s="5" t="n">
        <v>8</v>
      </c>
      <c r="C7" s="5" t="s">
        <v>359</v>
      </c>
      <c r="D7" s="5" t="s">
        <v>364</v>
      </c>
      <c r="E7" s="5" t="s">
        <v>365</v>
      </c>
    </row>
    <row r="8" customFormat="false" ht="16.4" hidden="false" customHeight="false" outlineLevel="0" collapsed="false">
      <c r="A8" s="5" t="s">
        <v>366</v>
      </c>
      <c r="B8" s="5" t="n">
        <v>3</v>
      </c>
      <c r="C8" s="5" t="s">
        <v>359</v>
      </c>
      <c r="D8" s="5"/>
      <c r="E8" s="5" t="s">
        <v>367</v>
      </c>
    </row>
    <row r="9" customFormat="false" ht="16.4" hidden="false" customHeight="false" outlineLevel="0" collapsed="false">
      <c r="A9" s="5" t="s">
        <v>368</v>
      </c>
      <c r="B9" s="5" t="n">
        <v>7</v>
      </c>
      <c r="C9" s="5" t="s">
        <v>359</v>
      </c>
      <c r="D9" s="5" t="s">
        <v>369</v>
      </c>
      <c r="E9" s="5" t="s">
        <v>370</v>
      </c>
    </row>
    <row r="10" customFormat="false" ht="31.3" hidden="false" customHeight="false" outlineLevel="0" collapsed="false">
      <c r="A10" s="5" t="s">
        <v>371</v>
      </c>
      <c r="B10" s="5" t="n">
        <v>14</v>
      </c>
      <c r="C10" s="5" t="s">
        <v>359</v>
      </c>
      <c r="D10" s="5" t="s">
        <v>372</v>
      </c>
      <c r="E10" s="5"/>
    </row>
    <row r="11" customFormat="false" ht="16.4" hidden="false" customHeight="false" outlineLevel="0" collapsed="false">
      <c r="A11" s="5" t="s">
        <v>373</v>
      </c>
      <c r="B11" s="5" t="n">
        <v>20</v>
      </c>
      <c r="C11" s="5" t="s">
        <v>374</v>
      </c>
      <c r="D11" s="5"/>
      <c r="E11" s="5" t="s">
        <v>375</v>
      </c>
    </row>
    <row r="12" customFormat="false" ht="16.4" hidden="false" customHeight="false" outlineLevel="0" collapsed="false">
      <c r="A12" s="5" t="s">
        <v>376</v>
      </c>
      <c r="B12" s="5" t="n">
        <v>8</v>
      </c>
      <c r="C12" s="5" t="s">
        <v>374</v>
      </c>
      <c r="D12" s="5"/>
      <c r="E12" s="5"/>
    </row>
    <row r="13" customFormat="false" ht="16.4" hidden="false" customHeight="false" outlineLevel="0" collapsed="false">
      <c r="A13" s="5" t="s">
        <v>377</v>
      </c>
      <c r="B13" s="5" t="n">
        <v>3</v>
      </c>
      <c r="C13" s="5" t="s">
        <v>359</v>
      </c>
      <c r="D13" s="5"/>
      <c r="E13" s="5" t="s">
        <v>378</v>
      </c>
    </row>
    <row r="14" customFormat="false" ht="16.4" hidden="false" customHeight="false" outlineLevel="0" collapsed="false">
      <c r="A14" s="5" t="s">
        <v>379</v>
      </c>
      <c r="B14" s="5" t="n">
        <v>6</v>
      </c>
      <c r="C14" s="5" t="s">
        <v>374</v>
      </c>
      <c r="D14" s="5"/>
      <c r="E14" s="5" t="s">
        <v>380</v>
      </c>
    </row>
    <row r="15" customFormat="false" ht="16.4" hidden="false" customHeight="false" outlineLevel="0" collapsed="false">
      <c r="A15" s="5" t="s">
        <v>381</v>
      </c>
      <c r="B15" s="5" t="n">
        <v>4</v>
      </c>
      <c r="C15" s="5" t="s">
        <v>382</v>
      </c>
      <c r="D15" s="5"/>
      <c r="E15" s="5"/>
    </row>
    <row r="16" customFormat="false" ht="31.3" hidden="false" customHeight="false" outlineLevel="0" collapsed="false">
      <c r="A16" s="5" t="s">
        <v>383</v>
      </c>
      <c r="B16" s="5" t="n">
        <v>20</v>
      </c>
      <c r="C16" s="5" t="s">
        <v>361</v>
      </c>
      <c r="D16" s="5" t="s">
        <v>384</v>
      </c>
      <c r="E16" s="5" t="s">
        <v>385</v>
      </c>
    </row>
    <row r="17" customFormat="false" ht="16.4" hidden="false" customHeight="false" outlineLevel="0" collapsed="false">
      <c r="A17" s="5" t="s">
        <v>386</v>
      </c>
      <c r="B17" s="5" t="n">
        <v>15</v>
      </c>
      <c r="C17" s="5" t="s">
        <v>361</v>
      </c>
      <c r="D17" s="5" t="s">
        <v>387</v>
      </c>
      <c r="E17" s="5"/>
    </row>
    <row r="18" customFormat="false" ht="16.4" hidden="false" customHeight="false" outlineLevel="0" collapsed="false">
      <c r="A18" s="5" t="s">
        <v>388</v>
      </c>
      <c r="B18" s="5" t="n">
        <v>2</v>
      </c>
      <c r="C18" s="5" t="s">
        <v>389</v>
      </c>
      <c r="D18" s="5" t="s">
        <v>390</v>
      </c>
      <c r="E18" s="5" t="s">
        <v>391</v>
      </c>
    </row>
    <row r="19" customFormat="false" ht="16.4" hidden="false" customHeight="false" outlineLevel="0" collapsed="false">
      <c r="A19" s="5" t="s">
        <v>392</v>
      </c>
      <c r="B19" s="5" t="n">
        <v>12</v>
      </c>
      <c r="C19" s="5" t="s">
        <v>393</v>
      </c>
      <c r="D19" s="5"/>
      <c r="E19" s="5" t="s">
        <v>394</v>
      </c>
    </row>
    <row r="20" customFormat="false" ht="15" hidden="false" customHeight="false" outlineLevel="0" collapsed="false">
      <c r="A20" s="8" t="s">
        <v>395</v>
      </c>
      <c r="B20" s="8" t="n">
        <f aca="false">SUM(B4:B19)</f>
        <v>147</v>
      </c>
    </row>
    <row r="21" customFormat="false" ht="15" hidden="false" customHeight="false" outlineLevel="0" collapsed="false">
      <c r="A21" s="0" t="s">
        <v>396</v>
      </c>
      <c r="B21" s="0" t="n">
        <v>149</v>
      </c>
    </row>
    <row r="22" customFormat="false" ht="15" hidden="false" customHeight="false" outlineLevel="0" collapsed="false">
      <c r="A22" s="8" t="s">
        <v>397</v>
      </c>
      <c r="B22" s="8" t="n">
        <f aca="false">B21-B20</f>
        <v>2</v>
      </c>
    </row>
    <row r="24" customFormat="false" ht="15" hidden="false" customHeight="false" outlineLevel="0" collapsed="false">
      <c r="A24" s="8" t="s">
        <v>398</v>
      </c>
    </row>
    <row r="25" customFormat="false" ht="31.3" hidden="false" customHeight="false" outlineLevel="0" collapsed="false">
      <c r="A25" s="2" t="s">
        <v>399</v>
      </c>
      <c r="B25" s="2" t="s">
        <v>400</v>
      </c>
      <c r="C25" s="2" t="s">
        <v>401</v>
      </c>
      <c r="D25" s="2" t="s">
        <v>402</v>
      </c>
      <c r="E25" s="2" t="s">
        <v>403</v>
      </c>
    </row>
    <row r="26" customFormat="false" ht="16.4" hidden="false" customHeight="false" outlineLevel="0" collapsed="false">
      <c r="A26" s="5" t="n">
        <v>34</v>
      </c>
      <c r="B26" s="5" t="n">
        <v>50</v>
      </c>
      <c r="C26" s="5" t="n">
        <v>24</v>
      </c>
      <c r="D26" s="5" t="s">
        <v>404</v>
      </c>
      <c r="E26" s="5" t="s">
        <v>405</v>
      </c>
    </row>
    <row r="27" customFormat="false" ht="16.4" hidden="false" customHeight="false" outlineLevel="0" collapsed="false">
      <c r="A27" s="5" t="n">
        <v>14</v>
      </c>
      <c r="B27" s="5" t="n">
        <v>43</v>
      </c>
      <c r="C27" s="5" t="n">
        <v>19</v>
      </c>
      <c r="D27" s="5" t="s">
        <v>406</v>
      </c>
      <c r="E27" s="5" t="s">
        <v>407</v>
      </c>
    </row>
    <row r="28" customFormat="false" ht="16.4" hidden="false" customHeight="false" outlineLevel="0" collapsed="false">
      <c r="A28" s="5" t="n">
        <v>15</v>
      </c>
      <c r="B28" s="5" t="n">
        <v>26</v>
      </c>
      <c r="C28" s="5" t="n">
        <v>9</v>
      </c>
      <c r="D28" s="5" t="s">
        <v>404</v>
      </c>
      <c r="E28" s="5" t="s">
        <v>408</v>
      </c>
    </row>
    <row r="29" customFormat="false" ht="16.4" hidden="false" customHeight="false" outlineLevel="0" collapsed="false">
      <c r="A29" s="5" t="n">
        <v>35</v>
      </c>
      <c r="B29" s="5" t="n">
        <v>20</v>
      </c>
      <c r="C29" s="5" t="n">
        <v>5</v>
      </c>
      <c r="D29" s="5" t="s">
        <v>409</v>
      </c>
      <c r="E29" s="5" t="s">
        <v>410</v>
      </c>
    </row>
    <row r="30" customFormat="false" ht="16.4" hidden="false" customHeight="false" outlineLevel="0" collapsed="false">
      <c r="A30" s="5" t="n">
        <v>16</v>
      </c>
      <c r="B30" s="5" t="n">
        <v>10</v>
      </c>
      <c r="C30" s="5" t="n">
        <v>0</v>
      </c>
      <c r="D30" s="5" t="s">
        <v>411</v>
      </c>
      <c r="E30" s="5"/>
    </row>
    <row r="32" customFormat="false" ht="15" hidden="false" customHeight="false" outlineLevel="0" collapsed="false">
      <c r="A32" s="0" t="s">
        <v>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2"/>
    <col collapsed="false" customWidth="true" hidden="false" outlineLevel="0" max="3" min="3" style="0" width="64"/>
  </cols>
  <sheetData>
    <row r="1" customFormat="false" ht="17.35" hidden="false" customHeight="false" outlineLevel="0" collapsed="false">
      <c r="A1" s="1" t="s">
        <v>413</v>
      </c>
    </row>
    <row r="2" customFormat="false" ht="15" hidden="false" customHeight="false" outlineLevel="0" collapsed="false">
      <c r="A2" s="0" t="s">
        <v>414</v>
      </c>
    </row>
    <row r="3" customFormat="false" ht="16.4" hidden="false" customHeight="false" outlineLevel="0" collapsed="false">
      <c r="A3" s="2" t="s">
        <v>415</v>
      </c>
      <c r="B3" s="2" t="s">
        <v>349</v>
      </c>
      <c r="C3" s="2" t="s">
        <v>416</v>
      </c>
    </row>
    <row r="4" customFormat="false" ht="16.4" hidden="false" customHeight="false" outlineLevel="0" collapsed="false">
      <c r="A4" s="5" t="s">
        <v>417</v>
      </c>
      <c r="B4" s="5" t="s">
        <v>418</v>
      </c>
      <c r="C4" s="5" t="s">
        <v>419</v>
      </c>
    </row>
    <row r="5" customFormat="false" ht="16.4" hidden="false" customHeight="false" outlineLevel="0" collapsed="false">
      <c r="A5" s="5" t="s">
        <v>420</v>
      </c>
      <c r="B5" s="5" t="s">
        <v>421</v>
      </c>
      <c r="C5" s="5" t="s">
        <v>422</v>
      </c>
    </row>
    <row r="6" customFormat="false" ht="16.4" hidden="false" customHeight="false" outlineLevel="0" collapsed="false">
      <c r="A6" s="5" t="s">
        <v>423</v>
      </c>
      <c r="B6" s="5" t="s">
        <v>424</v>
      </c>
      <c r="C6" s="5" t="s">
        <v>425</v>
      </c>
    </row>
    <row r="7" customFormat="false" ht="16.4" hidden="false" customHeight="false" outlineLevel="0" collapsed="false">
      <c r="A7" s="5" t="s">
        <v>426</v>
      </c>
      <c r="B7" s="5" t="s">
        <v>427</v>
      </c>
      <c r="C7" s="5" t="s">
        <v>428</v>
      </c>
    </row>
    <row r="8" customFormat="false" ht="16.4" hidden="false" customHeight="false" outlineLevel="0" collapsed="false">
      <c r="A8" s="5" t="s">
        <v>429</v>
      </c>
      <c r="B8" s="5" t="s">
        <v>430</v>
      </c>
      <c r="C8" s="5" t="s">
        <v>431</v>
      </c>
    </row>
    <row r="9" customFormat="false" ht="31.3" hidden="false" customHeight="false" outlineLevel="0" collapsed="false">
      <c r="A9" s="5" t="s">
        <v>432</v>
      </c>
      <c r="B9" s="5" t="s">
        <v>427</v>
      </c>
      <c r="C9" s="5" t="s">
        <v>433</v>
      </c>
    </row>
    <row r="10" customFormat="false" ht="31.3" hidden="false" customHeight="false" outlineLevel="0" collapsed="false">
      <c r="A10" s="5" t="s">
        <v>434</v>
      </c>
      <c r="B10" s="5" t="s">
        <v>435</v>
      </c>
      <c r="C10" s="5" t="s">
        <v>436</v>
      </c>
    </row>
    <row r="11" customFormat="false" ht="16.4" hidden="false" customHeight="false" outlineLevel="0" collapsed="false">
      <c r="A11" s="5" t="s">
        <v>437</v>
      </c>
      <c r="B11" s="5" t="s">
        <v>438</v>
      </c>
      <c r="C11" s="5" t="s">
        <v>439</v>
      </c>
    </row>
    <row r="12" customFormat="false" ht="16.4" hidden="false" customHeight="false" outlineLevel="0" collapsed="false">
      <c r="A12" s="5" t="s">
        <v>440</v>
      </c>
      <c r="B12" s="5" t="s">
        <v>441</v>
      </c>
      <c r="C12" s="5"/>
    </row>
    <row r="13" customFormat="false" ht="16.4" hidden="false" customHeight="false" outlineLevel="0" collapsed="false">
      <c r="A13" s="5" t="s">
        <v>442</v>
      </c>
      <c r="B13" s="5" t="s">
        <v>443</v>
      </c>
      <c r="C13" s="5" t="s">
        <v>444</v>
      </c>
    </row>
    <row r="14" customFormat="false" ht="16.4" hidden="false" customHeight="false" outlineLevel="0" collapsed="false">
      <c r="A14" s="5" t="s">
        <v>445</v>
      </c>
      <c r="B14" s="5" t="s">
        <v>446</v>
      </c>
      <c r="C14" s="5" t="s">
        <v>447</v>
      </c>
    </row>
    <row r="15" customFormat="false" ht="16.4" hidden="false" customHeight="false" outlineLevel="0" collapsed="false">
      <c r="A15" s="5" t="s">
        <v>448</v>
      </c>
      <c r="B15" s="5" t="s">
        <v>449</v>
      </c>
      <c r="C15" s="5" t="s">
        <v>447</v>
      </c>
    </row>
    <row r="16" customFormat="false" ht="16.4" hidden="false" customHeight="false" outlineLevel="0" collapsed="false">
      <c r="A16" s="5" t="s">
        <v>450</v>
      </c>
      <c r="B16" s="5" t="s">
        <v>451</v>
      </c>
      <c r="C16" s="5" t="s">
        <v>452</v>
      </c>
    </row>
    <row r="17" customFormat="false" ht="16.4" hidden="false" customHeight="false" outlineLevel="0" collapsed="false">
      <c r="A17" s="5" t="s">
        <v>453</v>
      </c>
      <c r="B17" s="5" t="s">
        <v>454</v>
      </c>
      <c r="C17" s="5" t="s">
        <v>447</v>
      </c>
    </row>
    <row r="18" customFormat="false" ht="16.4" hidden="false" customHeight="false" outlineLevel="0" collapsed="false">
      <c r="A18" s="5" t="s">
        <v>359</v>
      </c>
      <c r="B18" s="5" t="s">
        <v>455</v>
      </c>
      <c r="C18" s="5" t="s">
        <v>447</v>
      </c>
    </row>
    <row r="19" customFormat="false" ht="16.4" hidden="false" customHeight="false" outlineLevel="0" collapsed="false">
      <c r="A19" s="5" t="s">
        <v>456</v>
      </c>
      <c r="B19" s="5" t="s">
        <v>457</v>
      </c>
      <c r="C19" s="5" t="s">
        <v>458</v>
      </c>
    </row>
    <row r="20" customFormat="false" ht="16.4" hidden="false" customHeight="false" outlineLevel="0" collapsed="false">
      <c r="A20" s="5" t="s">
        <v>459</v>
      </c>
      <c r="B20" s="5" t="s">
        <v>460</v>
      </c>
      <c r="C20" s="5" t="s">
        <v>461</v>
      </c>
    </row>
    <row r="21" customFormat="false" ht="16.4" hidden="false" customHeight="false" outlineLevel="0" collapsed="false">
      <c r="A21" s="5" t="s">
        <v>462</v>
      </c>
      <c r="B21" s="5" t="s">
        <v>463</v>
      </c>
      <c r="C21" s="5" t="s">
        <v>464</v>
      </c>
    </row>
    <row r="22" customFormat="false" ht="16.4" hidden="false" customHeight="false" outlineLevel="0" collapsed="false">
      <c r="A22" s="5" t="s">
        <v>465</v>
      </c>
      <c r="B22" s="5" t="s">
        <v>466</v>
      </c>
      <c r="C22" s="5" t="s">
        <v>467</v>
      </c>
    </row>
    <row r="23" customFormat="false" ht="16.4" hidden="false" customHeight="false" outlineLevel="0" collapsed="false">
      <c r="A23" s="5" t="s">
        <v>468</v>
      </c>
      <c r="B23" s="5" t="s">
        <v>469</v>
      </c>
      <c r="C23" s="5" t="s">
        <v>470</v>
      </c>
    </row>
    <row r="24" customFormat="false" ht="16.4" hidden="false" customHeight="false" outlineLevel="0" collapsed="false">
      <c r="A24" s="5" t="s">
        <v>471</v>
      </c>
      <c r="B24" s="5" t="s">
        <v>472</v>
      </c>
      <c r="C24" s="5" t="s">
        <v>473</v>
      </c>
    </row>
    <row r="25" customFormat="false" ht="16.4" hidden="false" customHeight="false" outlineLevel="0" collapsed="false">
      <c r="A25" s="5" t="s">
        <v>474</v>
      </c>
      <c r="B25" s="5" t="s">
        <v>475</v>
      </c>
      <c r="C25" s="5" t="s">
        <v>476</v>
      </c>
    </row>
    <row r="26" customFormat="false" ht="16.4" hidden="false" customHeight="false" outlineLevel="0" collapsed="false">
      <c r="A26" s="5" t="s">
        <v>477</v>
      </c>
      <c r="B26" s="5" t="s">
        <v>427</v>
      </c>
      <c r="C26" s="5"/>
    </row>
    <row r="27" customFormat="false" ht="16.4" hidden="false" customHeight="false" outlineLevel="0" collapsed="false">
      <c r="A27" s="5" t="s">
        <v>478</v>
      </c>
      <c r="B27" s="5" t="s">
        <v>479</v>
      </c>
      <c r="C27" s="5"/>
    </row>
    <row r="29" customFormat="false" ht="15" hidden="false" customHeight="false" outlineLevel="0" collapsed="false">
      <c r="A29" s="0" t="s">
        <v>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1" t="s">
        <v>481</v>
      </c>
    </row>
    <row r="2" customFormat="false" ht="15" hidden="false" customHeight="false" outlineLevel="0" collapsed="false">
      <c r="A2" s="0" t="s">
        <v>482</v>
      </c>
    </row>
    <row r="3" customFormat="false" ht="15" hidden="false" customHeight="false" outlineLevel="0" collapsed="false">
      <c r="A3" s="0" t="s">
        <v>483</v>
      </c>
      <c r="B3" s="9" t="n">
        <v>2800</v>
      </c>
    </row>
    <row r="4" customFormat="false" ht="15" hidden="false" customHeight="false" outlineLevel="0" collapsed="false">
      <c r="A4" s="0" t="s">
        <v>484</v>
      </c>
      <c r="B4" s="9" t="n">
        <v>3.7</v>
      </c>
    </row>
    <row r="5" customFormat="false" ht="15" hidden="false" customHeight="false" outlineLevel="0" collapsed="false">
      <c r="A5" s="0" t="s">
        <v>485</v>
      </c>
      <c r="B5" s="9" t="n">
        <v>0.9</v>
      </c>
    </row>
    <row r="6" customFormat="false" ht="15" hidden="false" customHeight="false" outlineLevel="0" collapsed="false">
      <c r="A6" s="0" t="s">
        <v>486</v>
      </c>
      <c r="B6" s="9" t="n">
        <v>0.88</v>
      </c>
    </row>
    <row r="7" customFormat="false" ht="15" hidden="false" customHeight="false" outlineLevel="0" collapsed="false">
      <c r="A7" s="0" t="s">
        <v>487</v>
      </c>
      <c r="B7" s="0" t="n">
        <f aca="false">B3*B4*B5/1000</f>
        <v>9.324</v>
      </c>
    </row>
    <row r="8" customFormat="false" ht="31.3" hidden="false" customHeight="false" outlineLevel="0" collapsed="false">
      <c r="A8" s="2" t="s">
        <v>488</v>
      </c>
      <c r="B8" s="2" t="s">
        <v>489</v>
      </c>
      <c r="C8" s="2" t="s">
        <v>200</v>
      </c>
      <c r="D8" s="2" t="s">
        <v>490</v>
      </c>
      <c r="E8" s="2" t="s">
        <v>491</v>
      </c>
      <c r="F8" s="2" t="s">
        <v>492</v>
      </c>
      <c r="G8" s="2" t="s">
        <v>493</v>
      </c>
    </row>
    <row r="9" customFormat="false" ht="15" hidden="false" customHeight="false" outlineLevel="0" collapsed="false">
      <c r="A9" s="0" t="s">
        <v>494</v>
      </c>
      <c r="B9" s="9" t="n">
        <v>0.3</v>
      </c>
      <c r="C9" s="9" t="n">
        <v>0.3</v>
      </c>
      <c r="D9" s="9" t="n">
        <v>0.3</v>
      </c>
      <c r="E9" s="9" t="n">
        <v>0.3</v>
      </c>
      <c r="F9" s="9" t="n">
        <v>0.3</v>
      </c>
      <c r="G9" s="9" t="n">
        <v>0.3</v>
      </c>
    </row>
    <row r="10" customFormat="false" ht="15" hidden="false" customHeight="false" outlineLevel="0" collapsed="false">
      <c r="A10" s="0" t="s">
        <v>495</v>
      </c>
      <c r="B10" s="9" t="n">
        <v>0.5</v>
      </c>
      <c r="C10" s="9" t="n">
        <v>0.8</v>
      </c>
      <c r="D10" s="9" t="n">
        <v>0.8</v>
      </c>
      <c r="E10" s="9" t="n">
        <v>0.9</v>
      </c>
      <c r="F10" s="9" t="n">
        <v>0.9</v>
      </c>
      <c r="G10" s="9" t="n">
        <v>0.5</v>
      </c>
    </row>
    <row r="11" customFormat="false" ht="15" hidden="false" customHeight="false" outlineLevel="0" collapsed="false">
      <c r="A11" s="0" t="s">
        <v>496</v>
      </c>
      <c r="B11" s="9" t="n">
        <v>0.15</v>
      </c>
      <c r="C11" s="9" t="n">
        <v>0.15</v>
      </c>
      <c r="D11" s="9" t="n">
        <v>0.3</v>
      </c>
      <c r="E11" s="9" t="n">
        <v>0.15</v>
      </c>
      <c r="F11" s="9" t="n">
        <v>0.15</v>
      </c>
      <c r="G11" s="9" t="n">
        <v>0.15</v>
      </c>
    </row>
    <row r="12" customFormat="false" ht="15" hidden="false" customHeight="false" outlineLevel="0" collapsed="false">
      <c r="A12" s="0" t="s">
        <v>497</v>
      </c>
      <c r="B12" s="9" t="n">
        <v>0.03</v>
      </c>
      <c r="C12" s="9" t="n">
        <v>0.03</v>
      </c>
      <c r="D12" s="9" t="n">
        <v>0.03</v>
      </c>
      <c r="E12" s="9" t="n">
        <v>0.03</v>
      </c>
      <c r="F12" s="9" t="n">
        <v>0.03</v>
      </c>
      <c r="G12" s="9" t="n">
        <v>0.03</v>
      </c>
    </row>
    <row r="13" customFormat="false" ht="15" hidden="false" customHeight="false" outlineLevel="0" collapsed="false">
      <c r="A13" s="0" t="s">
        <v>498</v>
      </c>
      <c r="B13" s="9" t="n">
        <v>0</v>
      </c>
      <c r="C13" s="9" t="n">
        <v>0</v>
      </c>
      <c r="D13" s="9" t="n">
        <v>0.15</v>
      </c>
      <c r="E13" s="9" t="n">
        <v>0</v>
      </c>
      <c r="F13" s="9" t="n">
        <v>0</v>
      </c>
      <c r="G13" s="9" t="n">
        <v>0</v>
      </c>
    </row>
    <row r="14" customFormat="false" ht="15" hidden="false" customHeight="false" outlineLevel="0" collapsed="false">
      <c r="A14" s="0" t="s">
        <v>499</v>
      </c>
      <c r="B14" s="9" t="n">
        <v>0</v>
      </c>
      <c r="C14" s="9" t="n">
        <v>0.03</v>
      </c>
      <c r="D14" s="9" t="n">
        <v>0</v>
      </c>
      <c r="E14" s="9" t="n">
        <v>0</v>
      </c>
      <c r="F14" s="9" t="n">
        <v>0</v>
      </c>
      <c r="G14" s="9" t="n">
        <v>0</v>
      </c>
    </row>
    <row r="15" customFormat="false" ht="15" hidden="false" customHeight="false" outlineLevel="0" collapsed="false">
      <c r="A15" s="0" t="s">
        <v>500</v>
      </c>
      <c r="B15" s="9" t="n">
        <v>0</v>
      </c>
      <c r="C15" s="9" t="n">
        <v>0</v>
      </c>
      <c r="D15" s="9" t="n">
        <v>0</v>
      </c>
      <c r="E15" s="9" t="n">
        <v>0.71</v>
      </c>
      <c r="F15" s="9" t="n">
        <v>0.71</v>
      </c>
      <c r="G15" s="9" t="n">
        <v>0</v>
      </c>
    </row>
    <row r="16" customFormat="false" ht="15" hidden="false" customHeight="false" outlineLevel="0" collapsed="false">
      <c r="A16" s="0" t="s">
        <v>501</v>
      </c>
      <c r="B16" s="9" t="n">
        <v>0</v>
      </c>
      <c r="C16" s="9" t="n">
        <v>0</v>
      </c>
      <c r="D16" s="9" t="n">
        <v>0</v>
      </c>
      <c r="E16" s="9" t="n">
        <v>0.41</v>
      </c>
      <c r="F16" s="9" t="n">
        <v>0.41</v>
      </c>
      <c r="G16" s="9" t="n">
        <v>0</v>
      </c>
    </row>
    <row r="17" customFormat="false" ht="15" hidden="false" customHeight="false" outlineLevel="0" collapsed="false">
      <c r="A17" s="0" t="s">
        <v>502</v>
      </c>
      <c r="B17" s="9" t="n">
        <v>0</v>
      </c>
      <c r="C17" s="9" t="n">
        <v>0</v>
      </c>
      <c r="D17" s="9" t="n">
        <v>0</v>
      </c>
      <c r="E17" s="9" t="n">
        <v>0.4</v>
      </c>
      <c r="F17" s="9" t="n">
        <v>0.4</v>
      </c>
      <c r="G17" s="9" t="n">
        <v>0</v>
      </c>
    </row>
    <row r="18" customFormat="false" ht="15" hidden="false" customHeight="false" outlineLevel="0" collapsed="false">
      <c r="A18" s="0" t="s">
        <v>503</v>
      </c>
      <c r="B18" s="9" t="n">
        <v>0</v>
      </c>
      <c r="C18" s="9" t="n">
        <v>0</v>
      </c>
      <c r="D18" s="9" t="n">
        <v>0</v>
      </c>
      <c r="E18" s="9" t="n">
        <v>0.42</v>
      </c>
      <c r="F18" s="9" t="n">
        <v>0.42</v>
      </c>
      <c r="G18" s="9" t="n">
        <v>0</v>
      </c>
    </row>
    <row r="19" customFormat="false" ht="15" hidden="false" customHeight="false" outlineLevel="0" collapsed="false">
      <c r="A19" s="0" t="s">
        <v>504</v>
      </c>
      <c r="B19" s="9" t="n">
        <v>0</v>
      </c>
      <c r="C19" s="9" t="n">
        <v>0</v>
      </c>
      <c r="D19" s="9" t="n">
        <v>0</v>
      </c>
      <c r="E19" s="9" t="n">
        <v>0</v>
      </c>
      <c r="F19" s="9" t="n">
        <v>0.65</v>
      </c>
      <c r="G19" s="9" t="n">
        <v>0</v>
      </c>
    </row>
    <row r="20" customFormat="false" ht="15" hidden="false" customHeight="false" outlineLevel="0" collapsed="false">
      <c r="A20" s="0" t="s">
        <v>505</v>
      </c>
      <c r="B20" s="9" t="n">
        <v>0</v>
      </c>
      <c r="C20" s="9" t="n">
        <v>0</v>
      </c>
      <c r="D20" s="9" t="n">
        <v>0</v>
      </c>
      <c r="E20" s="9" t="n">
        <v>0</v>
      </c>
      <c r="F20" s="9" t="n">
        <v>0</v>
      </c>
      <c r="G20" s="9" t="n">
        <v>0.1</v>
      </c>
    </row>
    <row r="21" customFormat="false" ht="15" hidden="false" customHeight="false" outlineLevel="0" collapsed="false">
      <c r="A21" s="8" t="s">
        <v>506</v>
      </c>
      <c r="B21" s="8" t="n">
        <f aca="false">SUM(B9:B20)</f>
        <v>0.98</v>
      </c>
      <c r="C21" s="8" t="n">
        <f aca="false">SUM(C9:C20)</f>
        <v>1.31</v>
      </c>
      <c r="D21" s="8" t="n">
        <f aca="false">SUM(D9:D20)</f>
        <v>1.58</v>
      </c>
      <c r="E21" s="8" t="n">
        <f aca="false">SUM(E9:E20)</f>
        <v>3.32</v>
      </c>
      <c r="F21" s="8" t="n">
        <f aca="false">SUM(F9:F20)</f>
        <v>3.97</v>
      </c>
      <c r="G21" s="8" t="n">
        <f aca="false">SUM(G9:G20)</f>
        <v>1.08</v>
      </c>
    </row>
    <row r="22" customFormat="false" ht="15" hidden="false" customHeight="false" outlineLevel="0" collapsed="false">
      <c r="A22" s="0" t="s">
        <v>507</v>
      </c>
      <c r="B22" s="10" t="n">
        <f aca="false">B21/$B$6</f>
        <v>1.11363636363636</v>
      </c>
      <c r="C22" s="10" t="n">
        <f aca="false">C21/$B$6</f>
        <v>1.48863636363636</v>
      </c>
      <c r="D22" s="10" t="n">
        <f aca="false">D21/$B$6</f>
        <v>1.79545454545455</v>
      </c>
      <c r="E22" s="10" t="n">
        <f aca="false">E21/$B$6</f>
        <v>3.77272727272727</v>
      </c>
      <c r="F22" s="10" t="n">
        <f aca="false">F21/$B$6</f>
        <v>4.51136363636364</v>
      </c>
      <c r="G22" s="10" t="n">
        <f aca="false">G21/$B$6</f>
        <v>1.22727272727273</v>
      </c>
    </row>
    <row r="23" customFormat="false" ht="15" hidden="false" customHeight="false" outlineLevel="0" collapsed="false">
      <c r="A23" s="8" t="s">
        <v>508</v>
      </c>
      <c r="B23" s="11" t="n">
        <f aca="false">$B$7/B22</f>
        <v>8.37257142857143</v>
      </c>
      <c r="C23" s="11" t="n">
        <f aca="false">$B$7/C22</f>
        <v>6.26345038167939</v>
      </c>
      <c r="D23" s="11" t="n">
        <f aca="false">$B$7/D22</f>
        <v>5.19311392405063</v>
      </c>
      <c r="E23" s="11" t="n">
        <f aca="false">$B$7/E22</f>
        <v>2.47142168674699</v>
      </c>
      <c r="F23" s="11" t="n">
        <f aca="false">$B$7/F22</f>
        <v>2.06678085642317</v>
      </c>
      <c r="G23" s="11" t="n">
        <f aca="false">$B$7/G22</f>
        <v>7.59733333333333</v>
      </c>
    </row>
    <row r="25" customFormat="false" ht="15" hidden="false" customHeight="false" outlineLevel="0" collapsed="false">
      <c r="A25" s="0" t="s">
        <v>509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510</v>
      </c>
    </row>
    <row r="3" customFormat="false" ht="16.4" hidden="false" customHeight="false" outlineLevel="0" collapsed="false">
      <c r="A3" s="2" t="s">
        <v>3</v>
      </c>
      <c r="B3" s="2" t="s">
        <v>511</v>
      </c>
    </row>
    <row r="4" customFormat="false" ht="16.4" hidden="false" customHeight="false" outlineLevel="0" collapsed="false">
      <c r="A4" s="12" t="s">
        <v>512</v>
      </c>
      <c r="B4" s="5" t="s">
        <v>513</v>
      </c>
    </row>
    <row r="5" customFormat="false" ht="31.3" hidden="false" customHeight="false" outlineLevel="0" collapsed="false">
      <c r="A5" s="12" t="s">
        <v>131</v>
      </c>
      <c r="B5" s="5" t="s">
        <v>514</v>
      </c>
    </row>
    <row r="6" customFormat="false" ht="16.4" hidden="false" customHeight="false" outlineLevel="0" collapsed="false">
      <c r="A6" s="12" t="s">
        <v>515</v>
      </c>
      <c r="B6" s="5" t="s">
        <v>516</v>
      </c>
    </row>
    <row r="7" customFormat="false" ht="31.3" hidden="false" customHeight="false" outlineLevel="0" collapsed="false">
      <c r="A7" s="12" t="s">
        <v>517</v>
      </c>
      <c r="B7" s="5" t="s">
        <v>518</v>
      </c>
    </row>
    <row r="8" customFormat="false" ht="31.3" hidden="false" customHeight="false" outlineLevel="0" collapsed="false">
      <c r="A8" s="12" t="s">
        <v>33</v>
      </c>
      <c r="B8" s="5" t="s">
        <v>519</v>
      </c>
    </row>
    <row r="9" customFormat="false" ht="31.3" hidden="false" customHeight="false" outlineLevel="0" collapsed="false">
      <c r="A9" s="12" t="s">
        <v>520</v>
      </c>
      <c r="B9" s="5" t="s">
        <v>521</v>
      </c>
    </row>
    <row r="10" customFormat="false" ht="16.4" hidden="false" customHeight="false" outlineLevel="0" collapsed="false">
      <c r="A10" s="12" t="s">
        <v>103</v>
      </c>
      <c r="B10" s="5" t="s">
        <v>522</v>
      </c>
    </row>
    <row r="11" customFormat="false" ht="16.4" hidden="false" customHeight="false" outlineLevel="0" collapsed="false">
      <c r="A11" s="12" t="s">
        <v>130</v>
      </c>
      <c r="B11" s="5" t="s">
        <v>523</v>
      </c>
    </row>
    <row r="12" customFormat="false" ht="16.4" hidden="false" customHeight="false" outlineLevel="0" collapsed="false">
      <c r="A12" s="12" t="s">
        <v>498</v>
      </c>
      <c r="B12" s="5" t="s">
        <v>524</v>
      </c>
    </row>
    <row r="13" customFormat="false" ht="16.4" hidden="false" customHeight="false" outlineLevel="0" collapsed="false">
      <c r="A13" s="12" t="s">
        <v>150</v>
      </c>
      <c r="B13" s="5" t="s">
        <v>525</v>
      </c>
    </row>
    <row r="14" customFormat="false" ht="31.3" hidden="false" customHeight="false" outlineLevel="0" collapsed="false">
      <c r="A14" s="12" t="s">
        <v>200</v>
      </c>
      <c r="B14" s="5" t="s">
        <v>526</v>
      </c>
    </row>
    <row r="15" customFormat="false" ht="31.3" hidden="false" customHeight="false" outlineLevel="0" collapsed="false">
      <c r="A15" s="12" t="s">
        <v>527</v>
      </c>
      <c r="B15" s="5" t="s">
        <v>528</v>
      </c>
    </row>
    <row r="16" customFormat="false" ht="31.3" hidden="false" customHeight="false" outlineLevel="0" collapsed="false">
      <c r="A16" s="12" t="s">
        <v>529</v>
      </c>
      <c r="B16" s="5" t="s">
        <v>530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tru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0"/>
    <col collapsed="false" customWidth="true" hidden="false" outlineLevel="0" max="3" min="3" style="0" width="22"/>
    <col collapsed="false" customWidth="true" hidden="false" outlineLevel="0" max="4" min="4" style="0" width="10"/>
  </cols>
  <sheetData>
    <row r="1" customFormat="false" ht="17.35" hidden="false" customHeight="false" outlineLevel="0" collapsed="false">
      <c r="A1" s="1" t="s">
        <v>531</v>
      </c>
    </row>
    <row r="2" customFormat="false" ht="15" hidden="false" customHeight="false" outlineLevel="0" collapsed="false">
      <c r="A2" s="0" t="s">
        <v>532</v>
      </c>
    </row>
    <row r="3" customFormat="false" ht="16.4" hidden="false" customHeight="false" outlineLevel="0" collapsed="false">
      <c r="A3" s="2" t="s">
        <v>2</v>
      </c>
      <c r="B3" s="2" t="s">
        <v>533</v>
      </c>
      <c r="C3" s="2" t="s">
        <v>534</v>
      </c>
      <c r="D3" s="2" t="s">
        <v>535</v>
      </c>
    </row>
    <row r="4" customFormat="false" ht="16.4" hidden="false" customHeight="false" outlineLevel="0" collapsed="false">
      <c r="A4" s="5" t="n">
        <v>1</v>
      </c>
      <c r="B4" s="5" t="s">
        <v>536</v>
      </c>
      <c r="C4" s="5" t="s">
        <v>537</v>
      </c>
      <c r="D4" s="5" t="s">
        <v>538</v>
      </c>
    </row>
    <row r="5" customFormat="false" ht="16.4" hidden="false" customHeight="false" outlineLevel="0" collapsed="false">
      <c r="A5" s="5" t="n">
        <v>2</v>
      </c>
      <c r="B5" s="5" t="s">
        <v>539</v>
      </c>
      <c r="C5" s="5" t="s">
        <v>537</v>
      </c>
      <c r="D5" s="5" t="s">
        <v>538</v>
      </c>
    </row>
    <row r="6" customFormat="false" ht="16.4" hidden="false" customHeight="false" outlineLevel="0" collapsed="false">
      <c r="A6" s="5" t="n">
        <v>3</v>
      </c>
      <c r="B6" s="5" t="s">
        <v>540</v>
      </c>
      <c r="C6" s="5" t="s">
        <v>537</v>
      </c>
      <c r="D6" s="5" t="s">
        <v>538</v>
      </c>
    </row>
    <row r="7" customFormat="false" ht="16.4" hidden="false" customHeight="false" outlineLevel="0" collapsed="false">
      <c r="A7" s="5" t="n">
        <v>4</v>
      </c>
      <c r="B7" s="5" t="s">
        <v>541</v>
      </c>
      <c r="C7" s="5" t="s">
        <v>537</v>
      </c>
      <c r="D7" s="5" t="s">
        <v>538</v>
      </c>
    </row>
    <row r="8" customFormat="false" ht="16.4" hidden="false" customHeight="false" outlineLevel="0" collapsed="false">
      <c r="A8" s="5" t="n">
        <v>5</v>
      </c>
      <c r="B8" s="5" t="s">
        <v>542</v>
      </c>
      <c r="C8" s="5" t="s">
        <v>537</v>
      </c>
      <c r="D8" s="5" t="s">
        <v>538</v>
      </c>
    </row>
    <row r="9" customFormat="false" ht="16.4" hidden="false" customHeight="false" outlineLevel="0" collapsed="false">
      <c r="A9" s="5" t="n">
        <v>6</v>
      </c>
      <c r="B9" s="5" t="s">
        <v>543</v>
      </c>
      <c r="C9" s="5" t="s">
        <v>544</v>
      </c>
      <c r="D9" s="5" t="s">
        <v>538</v>
      </c>
    </row>
    <row r="10" customFormat="false" ht="31.3" hidden="false" customHeight="false" outlineLevel="0" collapsed="false">
      <c r="A10" s="5" t="n">
        <v>7</v>
      </c>
      <c r="B10" s="5" t="s">
        <v>545</v>
      </c>
      <c r="C10" s="5" t="s">
        <v>544</v>
      </c>
      <c r="D10" s="5" t="s">
        <v>538</v>
      </c>
    </row>
    <row r="11" customFormat="false" ht="16.4" hidden="false" customHeight="false" outlineLevel="0" collapsed="false">
      <c r="A11" s="5" t="n">
        <v>8</v>
      </c>
      <c r="B11" s="5" t="s">
        <v>546</v>
      </c>
      <c r="C11" s="5" t="s">
        <v>544</v>
      </c>
      <c r="D11" s="5" t="s">
        <v>538</v>
      </c>
    </row>
    <row r="12" customFormat="false" ht="16.4" hidden="false" customHeight="false" outlineLevel="0" collapsed="false">
      <c r="A12" s="5" t="n">
        <v>9</v>
      </c>
      <c r="B12" s="5" t="s">
        <v>547</v>
      </c>
      <c r="C12" s="5" t="s">
        <v>544</v>
      </c>
      <c r="D12" s="5" t="s">
        <v>538</v>
      </c>
    </row>
    <row r="13" customFormat="false" ht="16.4" hidden="false" customHeight="false" outlineLevel="0" collapsed="false">
      <c r="A13" s="5" t="n">
        <v>10</v>
      </c>
      <c r="B13" s="5" t="s">
        <v>548</v>
      </c>
      <c r="C13" s="5" t="s">
        <v>544</v>
      </c>
      <c r="D13" s="5" t="s">
        <v>538</v>
      </c>
    </row>
    <row r="14" customFormat="false" ht="16.4" hidden="false" customHeight="false" outlineLevel="0" collapsed="false">
      <c r="A14" s="5" t="n">
        <v>11</v>
      </c>
      <c r="B14" s="5" t="s">
        <v>549</v>
      </c>
      <c r="C14" s="5" t="s">
        <v>544</v>
      </c>
      <c r="D14" s="5" t="s">
        <v>538</v>
      </c>
    </row>
    <row r="15" customFormat="false" ht="16.4" hidden="false" customHeight="false" outlineLevel="0" collapsed="false">
      <c r="A15" s="5" t="n">
        <v>12</v>
      </c>
      <c r="B15" s="5" t="s">
        <v>550</v>
      </c>
      <c r="C15" s="5" t="s">
        <v>551</v>
      </c>
      <c r="D15" s="5" t="s">
        <v>538</v>
      </c>
    </row>
    <row r="16" customFormat="false" ht="16.4" hidden="false" customHeight="false" outlineLevel="0" collapsed="false">
      <c r="A16" s="5" t="n">
        <v>13</v>
      </c>
      <c r="B16" s="5" t="s">
        <v>552</v>
      </c>
      <c r="C16" s="5" t="s">
        <v>551</v>
      </c>
      <c r="D16" s="5" t="s">
        <v>538</v>
      </c>
    </row>
    <row r="17" customFormat="false" ht="16.4" hidden="false" customHeight="false" outlineLevel="0" collapsed="false">
      <c r="A17" s="5" t="n">
        <v>14</v>
      </c>
      <c r="B17" s="5" t="s">
        <v>553</v>
      </c>
      <c r="C17" s="5" t="s">
        <v>551</v>
      </c>
      <c r="D17" s="5" t="s">
        <v>538</v>
      </c>
    </row>
    <row r="18" customFormat="false" ht="16.4" hidden="false" customHeight="false" outlineLevel="0" collapsed="false">
      <c r="A18" s="5" t="n">
        <v>15</v>
      </c>
      <c r="B18" s="5" t="s">
        <v>93</v>
      </c>
      <c r="C18" s="5" t="s">
        <v>551</v>
      </c>
      <c r="D18" s="5" t="s">
        <v>538</v>
      </c>
    </row>
    <row r="19" customFormat="false" ht="16.4" hidden="false" customHeight="false" outlineLevel="0" collapsed="false">
      <c r="A19" s="5" t="n">
        <v>16</v>
      </c>
      <c r="B19" s="5" t="s">
        <v>554</v>
      </c>
      <c r="C19" s="5" t="s">
        <v>551</v>
      </c>
      <c r="D19" s="5" t="s">
        <v>538</v>
      </c>
    </row>
    <row r="20" customFormat="false" ht="16.4" hidden="false" customHeight="false" outlineLevel="0" collapsed="false">
      <c r="A20" s="5" t="n">
        <v>17</v>
      </c>
      <c r="B20" s="5" t="s">
        <v>555</v>
      </c>
      <c r="C20" s="5" t="s">
        <v>551</v>
      </c>
      <c r="D20" s="5" t="s">
        <v>538</v>
      </c>
    </row>
    <row r="21" customFormat="false" ht="16.4" hidden="false" customHeight="false" outlineLevel="0" collapsed="false">
      <c r="A21" s="5" t="n">
        <v>18</v>
      </c>
      <c r="B21" s="5" t="s">
        <v>556</v>
      </c>
      <c r="C21" s="5" t="s">
        <v>557</v>
      </c>
      <c r="D21" s="5" t="s">
        <v>538</v>
      </c>
    </row>
    <row r="22" customFormat="false" ht="31.3" hidden="false" customHeight="false" outlineLevel="0" collapsed="false">
      <c r="A22" s="5" t="n">
        <v>19</v>
      </c>
      <c r="B22" s="5" t="s">
        <v>558</v>
      </c>
      <c r="C22" s="5" t="s">
        <v>559</v>
      </c>
      <c r="D22" s="5" t="s">
        <v>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2026-10-03T09:30:14Z</dcterms:created>
  <dc:creator>openpyxl</dc:creator>
  <dc:description/>
  <dc:language>ru-RU</dc:language>
  <cp:lastModifiedBy/>
  <dcterms:modified xsi:type="dcterms:W3CDTF">2026-10-03T09:30:14Z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