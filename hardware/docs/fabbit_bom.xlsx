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материнка" sheetId="1" state="visible" r:id="rId3"/>
    <sheet name="BOM мезонин" sheetId="2" state="visible" r:id="rId4"/>
    <sheet name="Ножки ПЛИС" sheetId="3" state="visible" r:id="rId5"/>
    <sheet name="Ножки ESP32-S3" sheetId="4" state="visible" r:id="rId6"/>
    <sheet name="Бюджет питания" sheetId="5" state="visible" r:id="rId7"/>
    <sheet name="Решения" sheetId="6" state="visible" r:id="rId8"/>
    <sheet name="Открытые вопросы" sheetId="7" state="visible" r:id="rId9"/>
  </sheets>
  <definedNames>
    <definedName function="false" hidden="true" localSheetId="0" name="_xlnm._FilterDatabase" vbProcedure="false">'BOM материнка'!$A$4:$J$71</definedName>
    <definedName function="false" hidden="true" localSheetId="1" name="_xlnm._FilterDatabase" vbProcedure="false">'BOM мезонин'!$A$4:$J$29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<sst xmlns="http://schemas.openxmlformats.org/spreadsheetml/2006/main" count="719" uniqueCount="458">
  <si>
    <t xml:space="preserve">Fabbit — BOM материнской платы</t>
  </si>
  <si>
    <t xml:space="preserve">Черновик 02.10.2026 · ревизия 1 · по итогам разбора разделов А–З</t>
  </si>
  <si>
    <t xml:space="preserve">№</t>
  </si>
  <si>
    <t xml:space="preserve">Раздел</t>
  </si>
  <si>
    <t xml:space="preserve">Узел / назначение</t>
  </si>
  <si>
    <t xml:space="preserve">Компонент (основной)</t>
  </si>
  <si>
    <t xml:space="preserve">Аналог / запасной</t>
  </si>
  <si>
    <t xml:space="preserve">Кол-во</t>
  </si>
  <si>
    <t xml:space="preserve">Цена за шт., ₽ (ориентир)</t>
  </si>
  <si>
    <t xml:space="preserve">Сумма, ₽</t>
  </si>
  <si>
    <t xml:space="preserve">Источник</t>
  </si>
  <si>
    <t xml:space="preserve">Примечание / что проверить</t>
  </si>
  <si>
    <t xml:space="preserve">Ядро</t>
  </si>
  <si>
    <t xml:space="preserve">Модуль ПЛИС</t>
  </si>
  <si>
    <t xml:space="preserve">Colorlight i9+ (XC7A50T-FGG484)</t>
  </si>
  <si>
    <t xml:space="preserve">—</t>
  </si>
  <si>
    <t xml:space="preserve">есть</t>
  </si>
  <si>
    <t xml:space="preserve">Уже куплен. Прочитать класс скорости (-1/-2), померить VCCO банков 34/35/15/16, ток по 5 В</t>
  </si>
  <si>
    <t xml:space="preserve">Разъём модуля</t>
  </si>
  <si>
    <t xml:space="preserve">SO-DIMM 200 (DDR2) гнездо</t>
  </si>
  <si>
    <t xml:space="preserve">купить</t>
  </si>
  <si>
    <t xml:space="preserve">Высота гнезда — сверить с моделью корпуса</t>
  </si>
  <si>
    <t xml:space="preserve">Микроконтроллер</t>
  </si>
  <si>
    <t xml:space="preserve">ESP32-S3-WROOM-1-N16R8</t>
  </si>
  <si>
    <t xml:space="preserve">Девборда уже есть; модуль на плату отдельно</t>
  </si>
  <si>
    <t xml:space="preserve">Скрытая кнопка recovery (GPIO0)</t>
  </si>
  <si>
    <t xml:space="preserve">Тактовая 3×4 мм SMD</t>
  </si>
  <si>
    <t xml:space="preserve">Нажимать скрепкой через отверстие</t>
  </si>
  <si>
    <t xml:space="preserve">Питание</t>
  </si>
  <si>
    <t xml:space="preserve">Зарядка + power-path + ship mode + QON</t>
  </si>
  <si>
    <t xml:space="preserve">BQ25601</t>
  </si>
  <si>
    <t xml:space="preserve">SGM41511 (pin-to-pin)</t>
  </si>
  <si>
    <t xml:space="preserve">Проверить: сброс системы удержанием QON в даташите</t>
  </si>
  <si>
    <t xml:space="preserve">Дроссель зарядки</t>
  </si>
  <si>
    <t xml:space="preserve">1 мкГн, ≥4 А</t>
  </si>
  <si>
    <t xml:space="preserve">Аккумулятор</t>
  </si>
  <si>
    <t xml:space="preserve">LiPo 904070, ~2500–3000 мА·ч, с защитой и NTC</t>
  </si>
  <si>
    <t xml:space="preserve">Толщина банки ≤ 9 мм (запас на вздутие)</t>
  </si>
  <si>
    <t xml:space="preserve">Указатель заряда (честный)</t>
  </si>
  <si>
    <t xml:space="preserve">BQ27441-G1A + шунт 10 мОм</t>
  </si>
  <si>
    <t xml:space="preserve">MAX17048 (без шунта)</t>
  </si>
  <si>
    <t xml:space="preserve">3,3 В системная</t>
  </si>
  <si>
    <t xml:space="preserve">TPS63802 (buck-boost 2 А) + дроссель</t>
  </si>
  <si>
    <t xml:space="preserve">TPS63020</t>
  </si>
  <si>
    <t xml:space="preserve">Работает на всём диапазоне банки</t>
  </si>
  <si>
    <t xml:space="preserve">5 В для модуля ПЛИС</t>
  </si>
  <si>
    <t xml:space="preserve">TPS61023 + дроссель</t>
  </si>
  <si>
    <t xml:space="preserve">SY7088</t>
  </si>
  <si>
    <t xml:space="preserve">Финальный выбор — после замера тока модуля</t>
  </si>
  <si>
    <t xml:space="preserve">Ключ 5 В модуля (сброс/отключение)</t>
  </si>
  <si>
    <t xml:space="preserve">TPS22918</t>
  </si>
  <si>
    <t xml:space="preserve">AP22802</t>
  </si>
  <si>
    <t xml:space="preserve">Обычный boost в выключенном состоянии пропускает VBAT — ключ обязателен</t>
  </si>
  <si>
    <t xml:space="preserve">Ключи доменов (3V3_FPGA, панель, SD, мезонин 3V3/5V)</t>
  </si>
  <si>
    <t xml:space="preserve">TPS22917</t>
  </si>
  <si>
    <t xml:space="preserve">3V3_FPGA включается вместе с модулем</t>
  </si>
  <si>
    <t xml:space="preserve">±6 В для мезонинов</t>
  </si>
  <si>
    <t xml:space="preserve">TPS65131 + 2 дросселя</t>
  </si>
  <si>
    <t xml:space="preserve">бартер?</t>
  </si>
  <si>
    <t xml:space="preserve">Мезонин сам ставит LDO ±5 В</t>
  </si>
  <si>
    <t xml:space="preserve">Кнопка питания + диоды на QON/ESP</t>
  </si>
  <si>
    <t xml:space="preserve">Тактовая боковая + BAT54C</t>
  </si>
  <si>
    <t xml:space="preserve">Лаб. БП и измерения</t>
  </si>
  <si>
    <t xml:space="preserve">Программируемый источник CV/CC 0,8–20 В</t>
  </si>
  <si>
    <t xml:space="preserve">TPS55289 + дроссель 2,2 мкГн + шунт</t>
  </si>
  <si>
    <t xml:space="preserve">SC8815 (проверить)</t>
  </si>
  <si>
    <t xml:space="preserve">Мощность ≤ ~5 Вт от батареи, ≤ ~8 Вт от USB</t>
  </si>
  <si>
    <t xml:space="preserve">Защита P1, блокировка обратного тока</t>
  </si>
  <si>
    <t xml:space="preserve">TPS25947 (eFuse)</t>
  </si>
  <si>
    <t xml:space="preserve">Предел 23 В — сквозной канал до 20 В</t>
  </si>
  <si>
    <t xml:space="preserve">Измерение V/I/P/энергии</t>
  </si>
  <si>
    <t xml:space="preserve">INA228 + шунт 10–20 мОм 2512</t>
  </si>
  <si>
    <t xml:space="preserve">INA238</t>
  </si>
  <si>
    <t xml:space="preserve">Один шунт на пути P1→P2 работает в обоих режимах</t>
  </si>
  <si>
    <t xml:space="preserve">Осциллограф тока (быстрый усилитель шунта)</t>
  </si>
  <si>
    <t xml:space="preserve">INA241</t>
  </si>
  <si>
    <t xml:space="preserve">INA240</t>
  </si>
  <si>
    <t xml:space="preserve">Выход I_SENSE → разъём мезонина</t>
  </si>
  <si>
    <t xml:space="preserve">Ключ P2 (циклы питания, глитчинг)</t>
  </si>
  <si>
    <t xml:space="preserve">MOSFET + драйвер затвора</t>
  </si>
  <si>
    <t xml:space="preserve">уточнить на схеме</t>
  </si>
  <si>
    <t xml:space="preserve">Управление с ПЛИС</t>
  </si>
  <si>
    <t xml:space="preserve">Защита силовых пинов</t>
  </si>
  <si>
    <t xml:space="preserve">TVS SMBJ20A</t>
  </si>
  <si>
    <t xml:space="preserve">+ защита от переполюсовки</t>
  </si>
  <si>
    <t xml:space="preserve">Разъём силовых пинов</t>
  </si>
  <si>
    <t xml:space="preserve">Гребёнка 2×2, 2,54 мм</t>
  </si>
  <si>
    <t xml:space="preserve">2× «+» (P1, P2), 2× GND, до 3 А</t>
  </si>
  <si>
    <t xml:space="preserve">USB</t>
  </si>
  <si>
    <t xml:space="preserve">Разъём</t>
  </si>
  <si>
    <t xml:space="preserve">USB Type-C 16 pin (USB 2.0) + 2×5,1 кОм на CC</t>
  </si>
  <si>
    <t xml:space="preserve">Без PD</t>
  </si>
  <si>
    <t xml:space="preserve">ESD на D+/D−</t>
  </si>
  <si>
    <t xml:space="preserve">USBLC6-2SC6</t>
  </si>
  <si>
    <t xml:space="preserve">TPD2E2U06</t>
  </si>
  <si>
    <t xml:space="preserve">TVS на VBUS</t>
  </si>
  <si>
    <t xml:space="preserve">TVS 6–12 В (уточнить)</t>
  </si>
  <si>
    <t xml:space="preserve">BQ25601 сам держит VBUS до 22 В</t>
  </si>
  <si>
    <t xml:space="preserve">USB-хаб</t>
  </si>
  <si>
    <t xml:space="preserve">GL850G + кварц 12 МГц</t>
  </si>
  <si>
    <t xml:space="preserve">USB2514B</t>
  </si>
  <si>
    <t xml:space="preserve">Порт 1 — ESP, порт 2 — FT232H</t>
  </si>
  <si>
    <t xml:space="preserve">HS-мост для sigrok</t>
  </si>
  <si>
    <t xml:space="preserve">FT232HL/HQ + кварц 12 МГц</t>
  </si>
  <si>
    <t xml:space="preserve">FX2 (CY7C68013A) — запас</t>
  </si>
  <si>
    <t xml:space="preserve">Режим sync FIFO 245; VCCIO от 3V3_FPGA</t>
  </si>
  <si>
    <t xml:space="preserve">EEPROM моста</t>
  </si>
  <si>
    <t xml:space="preserve">93LC56B</t>
  </si>
  <si>
    <t xml:space="preserve">Нужна для режима FIFO</t>
  </si>
  <si>
    <t xml:space="preserve">LDO 3,3 В от VBUS (домен USB)</t>
  </si>
  <si>
    <t xml:space="preserve">ME6211C33</t>
  </si>
  <si>
    <t xml:space="preserve">AP2112K-3.3</t>
  </si>
  <si>
    <t xml:space="preserve">Домен USB питается только от кабеля</t>
  </si>
  <si>
    <t xml:space="preserve">Видео</t>
  </si>
  <si>
    <t xml:space="preserve">Экран</t>
  </si>
  <si>
    <t xml:space="preserve">3,5" 640×480 IPS, NV3052C (WL-355608-A9)</t>
  </si>
  <si>
    <t xml:space="preserve">Прозвонить шлейф 54 pin: подсветка, питание, сторона контактов</t>
  </si>
  <si>
    <t xml:space="preserve">Разъём шлейфа</t>
  </si>
  <si>
    <t xml:space="preserve">FPC/ZIF 54 pin, шаг 0,5 мм</t>
  </si>
  <si>
    <t xml:space="preserve">Верх/низ контакты — по шлейфу</t>
  </si>
  <si>
    <t xml:space="preserve">Драйвер подсветки</t>
  </si>
  <si>
    <t xml:space="preserve">TPS61169 + дроссель + диод Шоттки</t>
  </si>
  <si>
    <t xml:space="preserve">MP3202</t>
  </si>
  <si>
    <t xml:space="preserve">~6 LED последовательно, ~19 В / 20–40 мА; ШИМ с ПЛИС</t>
  </si>
  <si>
    <t xml:space="preserve">HDMI разъём</t>
  </si>
  <si>
    <t xml:space="preserve">HDMI Type A (полноразмерный)</t>
  </si>
  <si>
    <t xml:space="preserve">Высота ~6 мм — сверить с корпусом</t>
  </si>
  <si>
    <t xml:space="preserve">HDMI защита + DDC + HPD + 5 В</t>
  </si>
  <si>
    <t xml:space="preserve">TPD12S016</t>
  </si>
  <si>
    <t xml:space="preserve">Ввод</t>
  </si>
  <si>
    <t xml:space="preserve">Расширители (кнопки / управление)</t>
  </si>
  <si>
    <t xml:space="preserve">AW9523B</t>
  </si>
  <si>
    <t xml:space="preserve">TCA9555</t>
  </si>
  <si>
    <t xml:space="preserve">№1 — кнопки и детект SD, №2 — ключи питания</t>
  </si>
  <si>
    <t xml:space="preserve">Резиновые купола (прототип)</t>
  </si>
  <si>
    <t xml:space="preserve">Силиконовые накладки RG35XX Plus</t>
  </si>
  <si>
    <t xml:space="preserve">свои купола в v2</t>
  </si>
  <si>
    <t xml:space="preserve">Площадки ENIG на плате по их геометрии</t>
  </si>
  <si>
    <t xml:space="preserve">Колесо-энкодер</t>
  </si>
  <si>
    <t xml:space="preserve">Энкодер колеса мыши (TTC/Alps)</t>
  </si>
  <si>
    <t xml:space="preserve">+ тактовая кнопка под колесом</t>
  </si>
  <si>
    <t xml:space="preserve">Нажатие колеса</t>
  </si>
  <si>
    <t xml:space="preserve">Тактовая SMD</t>
  </si>
  <si>
    <t xml:space="preserve">Звук и вибро</t>
  </si>
  <si>
    <t xml:space="preserve">Микрофон (на ПЛИС)</t>
  </si>
  <si>
    <t xml:space="preserve">MP34DT05 (PDM)</t>
  </si>
  <si>
    <t xml:space="preserve">MSM261D / ZTS6672</t>
  </si>
  <si>
    <t xml:space="preserve">CIC-фильтр в Verilog</t>
  </si>
  <si>
    <t xml:space="preserve">Усилитель (на ПЛИС, I2S)</t>
  </si>
  <si>
    <t xml:space="preserve">NS4168</t>
  </si>
  <si>
    <t xml:space="preserve">MAX98357A</t>
  </si>
  <si>
    <t xml:space="preserve">Питание от VSYS, shutdown — с ПЛИС</t>
  </si>
  <si>
    <t xml:space="preserve">Динамик</t>
  </si>
  <si>
    <t xml:space="preserve">1 Вт 8 Ом, ~20×15 мм</t>
  </si>
  <si>
    <t xml:space="preserve">Размер под корпус</t>
  </si>
  <si>
    <t xml:space="preserve">Драйвер вибро</t>
  </si>
  <si>
    <t xml:space="preserve">DRV2605L</t>
  </si>
  <si>
    <t xml:space="preserve">I2C с ESP, TRIG с ПЛИС</t>
  </si>
  <si>
    <t xml:space="preserve">Вибромотор</t>
  </si>
  <si>
    <t xml:space="preserve">LRA 0832/1027</t>
  </si>
  <si>
    <t xml:space="preserve">Хранилище и время</t>
  </si>
  <si>
    <t xml:space="preserve">microSD</t>
  </si>
  <si>
    <t xml:space="preserve">Гнездо push-push</t>
  </si>
  <si>
    <t xml:space="preserve">Hirose DM3</t>
  </si>
  <si>
    <t xml:space="preserve">SDMMC 4-bit на ESP, детект → расширитель</t>
  </si>
  <si>
    <t xml:space="preserve">RTC</t>
  </si>
  <si>
    <t xml:space="preserve">BM8563 + кварц 32,768 кГц</t>
  </si>
  <si>
    <t xml:space="preserve">PCF8563</t>
  </si>
  <si>
    <t xml:space="preserve">Питание прямо от банки, INT → ESP (будильник)</t>
  </si>
  <si>
    <t xml:space="preserve">Анализатор</t>
  </si>
  <si>
    <t xml:space="preserve">Трансиверы, направление на линию</t>
  </si>
  <si>
    <t xml:space="preserve">SN74LXC1T45</t>
  </si>
  <si>
    <t xml:space="preserve">74LVC1T45 (та же площадка, от 1,65 В)</t>
  </si>
  <si>
    <t xml:space="preserve">1,1–5,5 В, Ioff. Проверить совместимость выводов и наличие</t>
  </si>
  <si>
    <t xml:space="preserve">Последовательная защита</t>
  </si>
  <si>
    <t xml:space="preserve">Резистор 100 Ом 0805 импульсостойкий</t>
  </si>
  <si>
    <t xml:space="preserve">Отводящие диоды</t>
  </si>
  <si>
    <t xml:space="preserve">BAV99</t>
  </si>
  <si>
    <t xml:space="preserve">BAS40-04</t>
  </si>
  <si>
    <t xml:space="preserve">~1,5 пФ</t>
  </si>
  <si>
    <t xml:space="preserve">Шина-ограничитель</t>
  </si>
  <si>
    <t xml:space="preserve">TVS SMF5.0A</t>
  </si>
  <si>
    <t xml:space="preserve">По одной на разъём</t>
  </si>
  <si>
    <t xml:space="preserve">VCCIO разъёмов A/B</t>
  </si>
  <si>
    <t xml:space="preserve">TLV75801 (регулируемый LDO)</t>
  </si>
  <si>
    <t xml:space="preserve">От 5 В модуля → максимум ~4,8 В</t>
  </si>
  <si>
    <t xml:space="preserve">ЦАП подстройки VCCIO (+2 канала в запасе)</t>
  </si>
  <si>
    <t xml:space="preserve">MCP4728</t>
  </si>
  <si>
    <t xml:space="preserve">Сдвиговый регистр направлений (12 линий)</t>
  </si>
  <si>
    <t xml:space="preserve">74LVC595 / 74HC595</t>
  </si>
  <si>
    <t xml:space="preserve">8 линий с прямым DIR, 12 — через регистр</t>
  </si>
  <si>
    <t xml:space="preserve">Подтяжки</t>
  </si>
  <si>
    <t xml:space="preserve">Сборка 4×4,7 кОм</t>
  </si>
  <si>
    <t xml:space="preserve">Ключи подтяжек</t>
  </si>
  <si>
    <t xml:space="preserve">TPS22917 или P-MOSFET</t>
  </si>
  <si>
    <t xml:space="preserve">Один на разъём, с расширителя</t>
  </si>
  <si>
    <t xml:space="preserve">Разъёмы анализатора</t>
  </si>
  <si>
    <t xml:space="preserve">Гребёнка 2×10, 2,54 мм</t>
  </si>
  <si>
    <t xml:space="preserve">Ряд: 10 сигналов; второй ряд: 9 GND + VREF</t>
  </si>
  <si>
    <t xml:space="preserve">Мезонин (на материнке)</t>
  </si>
  <si>
    <t xml:space="preserve">Разъёмы мезонина</t>
  </si>
  <si>
    <t xml:space="preserve">Гнездо 1,27 мм 2×20 SMD</t>
  </si>
  <si>
    <t xml:space="preserve">Стек 9 мм: «быстрый» (LVDS G-S-S-G) и «медленный» (питание, I2C)</t>
  </si>
  <si>
    <t xml:space="preserve">Пассив и прочее</t>
  </si>
  <si>
    <t xml:space="preserve">Пассив, кварцы, мелочь (оценка)</t>
  </si>
  <si>
    <t xml:space="preserve">Резисторы, конденсаторы, ферриты, тестовые площадки</t>
  </si>
  <si>
    <t xml:space="preserve">Грубая оценка на всю материнку</t>
  </si>
  <si>
    <t xml:space="preserve">Итого, ₽</t>
  </si>
  <si>
    <t xml:space="preserve">из них «бартер?»</t>
  </si>
  <si>
    <t xml:space="preserve">из них «купить»</t>
  </si>
  <si>
    <t xml:space="preserve">Как пользоваться: синие ячейки (кол-во, цена) — редактируемые; «Сумма» и итоги считаются сами. Цены — ориентир по рынку, не проверены у поставщиков. «Источник»: есть / купить / бартер? (кандидат в запрос ЧИП и ДИП, Компэл, Промэлектроника).</t>
  </si>
  <si>
    <t xml:space="preserve">Fabbit — BOM мезонина №1 (осциллограф · генератор · мультиметр)</t>
  </si>
  <si>
    <t xml:space="preserve">Мезонин 76 × 19 мм, двусторонний: сверху детали ≤1,5 мм, снизу до ~7 мм; стек 9 мм; горячая замена запрещена</t>
  </si>
  <si>
    <t xml:space="preserve">АЦП и такт</t>
  </si>
  <si>
    <t xml:space="preserve">Быстрый АЦП</t>
  </si>
  <si>
    <t xml:space="preserve">HMCAD1511 (QFN-48)</t>
  </si>
  <si>
    <t xml:space="preserve">ЧипСити, 2 164 ₽; 2 шт.: рабочий + запасной</t>
  </si>
  <si>
    <t xml:space="preserve">Синтезатор такта АЦП (низкий джиттер)</t>
  </si>
  <si>
    <t xml:space="preserve">ADF4351 + TCXO 25 МГц</t>
  </si>
  <si>
    <t xml:space="preserve">LMX2572</t>
  </si>
  <si>
    <t xml:space="preserve">Такт с ПЛИС слишком «дрожит» для 1 GS/s; настройка по общей SPI</t>
  </si>
  <si>
    <t xml:space="preserve">Терминаторы LVDS</t>
  </si>
  <si>
    <t xml:space="preserve">100 Ом 0402</t>
  </si>
  <si>
    <t xml:space="preserve">Внутренняя терминация ПЛИС на банке 3,3 В запрещена</t>
  </si>
  <si>
    <t xml:space="preserve">Точный АЦП (мультиметр)</t>
  </si>
  <si>
    <t xml:space="preserve">ADS1220</t>
  </si>
  <si>
    <t xml:space="preserve">ADS1256 (без источников тока)</t>
  </si>
  <si>
    <t xml:space="preserve">DRDY через DOUT — экономия ножки</t>
  </si>
  <si>
    <t xml:space="preserve">Входной тракт ×2</t>
  </si>
  <si>
    <t xml:space="preserve">Реле: делитель 1:1/1:10, AC/DC, вход/выход генератора</t>
  </si>
  <si>
    <t xml:space="preserve">Panasonic TQ2SA-3V (или аналог)</t>
  </si>
  <si>
    <t xml:space="preserve">Только на нижней стороне (высота ~5 мм)</t>
  </si>
  <si>
    <t xml:space="preserve">Драйвер реле</t>
  </si>
  <si>
    <t xml:space="preserve">ULN2003 / MOSFET-ключи</t>
  </si>
  <si>
    <t xml:space="preserve">Входной буфер 1 МОм</t>
  </si>
  <si>
    <t xml:space="preserve">OPA656 или BF862 + BJT</t>
  </si>
  <si>
    <t xml:space="preserve">решить на схеме</t>
  </si>
  <si>
    <t xml:space="preserve">Полоса ~100 МГц</t>
  </si>
  <si>
    <t xml:space="preserve">Программируемое усиление</t>
  </si>
  <si>
    <t xml:space="preserve">LMH6518 или ступени на коммутаторах</t>
  </si>
  <si>
    <t xml:space="preserve">LMH6518 дорогой — сравнить</t>
  </si>
  <si>
    <t xml:space="preserve">Драйвер АЦП</t>
  </si>
  <si>
    <t xml:space="preserve">LMH6552 / THS4541</t>
  </si>
  <si>
    <t xml:space="preserve">ЦАП смещения</t>
  </si>
  <si>
    <t xml:space="preserve">Генератор</t>
  </si>
  <si>
    <t xml:space="preserve">Быстрый ЦАП</t>
  </si>
  <si>
    <t xml:space="preserve">AD9744 (14 бит, 210 MS/s)</t>
  </si>
  <si>
    <t xml:space="preserve">DAC904</t>
  </si>
  <si>
    <t xml:space="preserve">Фильтр восстановления</t>
  </si>
  <si>
    <t xml:space="preserve">LC эллиптический 7-го порядка</t>
  </si>
  <si>
    <t xml:space="preserve">Выходной усилитель ±5 В, выход 50 Ом</t>
  </si>
  <si>
    <t xml:space="preserve">OPA695 / THS3091</t>
  </si>
  <si>
    <t xml:space="preserve">10 Впп на высокоомную нагрузку / 5 Впп на 50 Ом</t>
  </si>
  <si>
    <t xml:space="preserve">Питание и служебное</t>
  </si>
  <si>
    <t xml:space="preserve">LDO +5 / −5 В аналог</t>
  </si>
  <si>
    <t xml:space="preserve">TPS7A20 / TPS7A30 (или аналоги)</t>
  </si>
  <si>
    <t xml:space="preserve">От ±6 В материнки</t>
  </si>
  <si>
    <t xml:space="preserve">LDO 1,8 В (HMCAD аналог и цифра) и 3,3 В (ЦАП)</t>
  </si>
  <si>
    <t xml:space="preserve">TPS7A20</t>
  </si>
  <si>
    <t xml:space="preserve">Расширитель реле/усиления</t>
  </si>
  <si>
    <t xml:space="preserve">EEPROM опознания</t>
  </si>
  <si>
    <t xml:space="preserve">24C02</t>
  </si>
  <si>
    <t xml:space="preserve">Входные разъёмы</t>
  </si>
  <si>
    <t xml:space="preserve">SMA торцевой (edge-mount)</t>
  </si>
  <si>
    <t xml:space="preserve">Оба: вход или выход генератора</t>
  </si>
  <si>
    <t xml:space="preserve">Разъёмы на материнку</t>
  </si>
  <si>
    <t xml:space="preserve">Штыри 1,27 мм 2×20 (под стек 9 мм)</t>
  </si>
  <si>
    <t xml:space="preserve">Тепловой пад HMCAD → крышка/рамка</t>
  </si>
  <si>
    <t xml:space="preserve">Термопрокладка 1–1,5 мм</t>
  </si>
  <si>
    <t xml:space="preserve">Пассив (оценка)</t>
  </si>
  <si>
    <t xml:space="preserve">Ножки ПЛИС: бюджет и раскладка по банкам (предварительно)</t>
  </si>
  <si>
    <t xml:space="preserve">Источники: распиновка SODIMM i9+ (wuxx), package file XC7A50T-FGG484 (AMD). Точное назначение — на этапе схемы.</t>
  </si>
  <si>
    <t xml:space="preserve">Функция</t>
  </si>
  <si>
    <t xml:space="preserve">Ножек</t>
  </si>
  <si>
    <t xml:space="preserve">Банк (план)</t>
  </si>
  <si>
    <t xml:space="preserve">Требования</t>
  </si>
  <si>
    <t xml:space="preserve">Примечание</t>
  </si>
  <si>
    <t xml:space="preserve">Экран RGB565 + PCLK/HS/VS/DE</t>
  </si>
  <si>
    <t xml:space="preserve">15/35/16 + 14</t>
  </si>
  <si>
    <t xml:space="preserve">Данные — любые; PCLK/HS/VS/DE — банк 14</t>
  </si>
  <si>
    <t xml:space="preserve">16 бит, младшие биты панели на GND</t>
  </si>
  <si>
    <t xml:space="preserve">CS экрана (инициализация по общей SPI)</t>
  </si>
  <si>
    <t xml:space="preserve">34</t>
  </si>
  <si>
    <t xml:space="preserve">Команды присылает ESP</t>
  </si>
  <si>
    <t xml:space="preserve">Общая медленная SPI: SCK/MOSI/MISO</t>
  </si>
  <si>
    <t xml:space="preserve">Экран, HMCAD, ADS1220, ADF4351</t>
  </si>
  <si>
    <t xml:space="preserve">CS: HMCAD, ADS1220, ADF4351</t>
  </si>
  <si>
    <t xml:space="preserve">DRDY ADS1220 — через DOUT</t>
  </si>
  <si>
    <t xml:space="preserve">HDMI TMDS (4 пары)</t>
  </si>
  <si>
    <t xml:space="preserve">14</t>
  </si>
  <si>
    <t xml:space="preserve">TMDS_33 → только 3,3 В</t>
  </si>
  <si>
    <t xml:space="preserve">CLK=L14 (V18/V19, конт. 143/145), D0=L19 (P14/R14, 127/125), D1=L8 (AA20/AA21, 149/151), D2=L7 (W21/W22, 165/167)</t>
  </si>
  <si>
    <t xml:space="preserve">HDMI DDC + HPD</t>
  </si>
  <si>
    <t xml:space="preserve">Через TPD12S016</t>
  </si>
  <si>
    <t xml:space="preserve">Шина ESP (octal SPI) + IRQ</t>
  </si>
  <si>
    <t xml:space="preserve">CLK на SRCC/MRCC (например L11P U20)</t>
  </si>
  <si>
    <t xml:space="preserve">~30–40 МБ/с</t>
  </si>
  <si>
    <t xml:space="preserve">FT232H sync FIFO</t>
  </si>
  <si>
    <t xml:space="preserve">CLKOUT 60 МГц на MRCC (L12P W19, конт. 135)</t>
  </si>
  <si>
    <t xml:space="preserve">8 данных + RXF/TXE/RD/WR/OE/CLK</t>
  </si>
  <si>
    <t xml:space="preserve">Анализатор: данные</t>
  </si>
  <si>
    <t xml:space="preserve">15/35/16</t>
  </si>
  <si>
    <t xml:space="preserve">Через SN74LXC1T45</t>
  </si>
  <si>
    <t xml:space="preserve">Анализатор: прямые DIR (8 быстрых линий)</t>
  </si>
  <si>
    <t xml:space="preserve">I2C/SWD/1-Wire и MITM на этих линиях</t>
  </si>
  <si>
    <t xml:space="preserve">Анализатор: сдвиговый регистр DIR (12 линий)</t>
  </si>
  <si>
    <t xml:space="preserve">SER/CLK/LATCH, обновление ~0,4 мкс</t>
  </si>
  <si>
    <t xml:space="preserve">Звук: PDM-микрофон 2 + I2S усилителя 3</t>
  </si>
  <si>
    <t xml:space="preserve">Вибро TRIG, ключ P2 (глитчинг), ШИМ подсветки</t>
  </si>
  <si>
    <t xml:space="preserve">Мезонин: HMCAD1511 LVDS (8 данных + FCLK + LCLK)</t>
  </si>
  <si>
    <t xml:space="preserve">10 целых пар, LCLK на MRCC/SRCC; терминаторы снаружи</t>
  </si>
  <si>
    <t xml:space="preserve">Банк 34 выведен целиком (24 пары)</t>
  </si>
  <si>
    <t xml:space="preserve">Мезонин: AD9744 14 бит + такт</t>
  </si>
  <si>
    <t xml:space="preserve">34/15</t>
  </si>
  <si>
    <t xml:space="preserve">Итого занято</t>
  </si>
  <si>
    <t xml:space="preserve">Доступно на разъёме SODIMM</t>
  </si>
  <si>
    <t xml:space="preserve">Запас</t>
  </si>
  <si>
    <t xml:space="preserve">Ёмкость банков на разъёме</t>
  </si>
  <si>
    <t xml:space="preserve">Банк</t>
  </si>
  <si>
    <t xml:space="preserve">Ножек на разъёме</t>
  </si>
  <si>
    <t xml:space="preserve">Целых пар</t>
  </si>
  <si>
    <t xml:space="preserve">VCCO</t>
  </si>
  <si>
    <t xml:space="preserve">Комментарий</t>
  </si>
  <si>
    <t xml:space="preserve">не известно — померить</t>
  </si>
  <si>
    <t xml:space="preserve">Выведен целиком (L1–L24 + IO_0, IO_25). Мезонин + медленное</t>
  </si>
  <si>
    <t xml:space="preserve">3,3 В (питает конфиг. флеш)</t>
  </si>
  <si>
    <t xml:space="preserve">HDMI, шина ESP, FT232H. Ножки D00–D31 свободны после конфигурации</t>
  </si>
  <si>
    <t xml:space="preserve">15</t>
  </si>
  <si>
    <t xml:space="preserve">Здесь входы XADC AD1/AD9 (в запасе)</t>
  </si>
  <si>
    <t xml:space="preserve">35</t>
  </si>
  <si>
    <t xml:space="preserve">не известно (Ethernet RGMII)</t>
  </si>
  <si>
    <t xml:space="preserve">Тактовый генератор 25 МГц на K4 (внутри модуля)</t>
  </si>
  <si>
    <t xml:space="preserve">16</t>
  </si>
  <si>
    <t xml:space="preserve">3,3 В вероятно (SDRAM)</t>
  </si>
  <si>
    <t xml:space="preserve">Остальной банк занят SDRAM</t>
  </si>
  <si>
    <t xml:space="preserve">Сумма</t>
  </si>
  <si>
    <t xml:space="preserve">⚠ В доке wuxx контакты 51 и 53 оба подписаны T4 — проверить тестером. JTAG и SPI-флеш модуля НЕ выведены на SODIMM → загрузка через «золотой загрузчик» + IPROG.</t>
  </si>
  <si>
    <t xml:space="preserve">ESP32-S3-WROOM-1-N16R8: назначение GPIO (предварительно)</t>
  </si>
  <si>
    <t xml:space="preserve">GPIO 26–37 заняты флешем и octal PSRAM. Доступно 33: GPIO 0–21 и 38–48.</t>
  </si>
  <si>
    <t xml:space="preserve">GPIO</t>
  </si>
  <si>
    <t xml:space="preserve">Ограничения / примечание</t>
  </si>
  <si>
    <t xml:space="preserve">0</t>
  </si>
  <si>
    <t xml:space="preserve">Кнопка recovery</t>
  </si>
  <si>
    <t xml:space="preserve">Strapping: низкий при старте → режим загрузки</t>
  </si>
  <si>
    <t xml:space="preserve">1</t>
  </si>
  <si>
    <t xml:space="preserve">VREF_A (АЦП)</t>
  </si>
  <si>
    <t xml:space="preserve">ADC1_CH0 — уровень цели разъёма A</t>
  </si>
  <si>
    <t xml:space="preserve">2</t>
  </si>
  <si>
    <t xml:space="preserve">VREF_B (АЦП)</t>
  </si>
  <si>
    <t xml:space="preserve">ADC1_CH1 — уровень цели разъёма B</t>
  </si>
  <si>
    <t xml:space="preserve">3</t>
  </si>
  <si>
    <t xml:space="preserve">Резерв</t>
  </si>
  <si>
    <t xml:space="preserve">Strapping (источник JTAG) — только если eFuse; безопасен</t>
  </si>
  <si>
    <t xml:space="preserve">4</t>
  </si>
  <si>
    <t xml:space="preserve">Кнопка питания (чтение + пробуждение)</t>
  </si>
  <si>
    <t xml:space="preserve">RTC GPIO; кнопка также идёт на QON зарядки</t>
  </si>
  <si>
    <t xml:space="preserve">5</t>
  </si>
  <si>
    <t xml:space="preserve">Прерывание RTC (будильник)</t>
  </si>
  <si>
    <t xml:space="preserve">RTC GPIO — будит из сна</t>
  </si>
  <si>
    <t xml:space="preserve">6</t>
  </si>
  <si>
    <t xml:space="preserve">Общее прерывание: AW9523B ×2, BQ25601, указатель заряда</t>
  </si>
  <si>
    <t xml:space="preserve">RTC GPIO, открытый сток</t>
  </si>
  <si>
    <t xml:space="preserve">7</t>
  </si>
  <si>
    <t xml:space="preserve">I2C SDA</t>
  </si>
  <si>
    <t xml:space="preserve">Общая шина: зарядка, указатель, расширители, ЦАП, RTC, DRV2605L, INA228, TPS55289, EEPROM мезонина</t>
  </si>
  <si>
    <t xml:space="preserve">8</t>
  </si>
  <si>
    <t xml:space="preserve">I2C SCL</t>
  </si>
  <si>
    <t xml:space="preserve">9–14</t>
  </si>
  <si>
    <t xml:space="preserve">microSD (CLK, CMD, D0–D3)</t>
  </si>
  <si>
    <t xml:space="preserve">SDMMC через GPIO-матрицу</t>
  </si>
  <si>
    <t xml:space="preserve">15, 16</t>
  </si>
  <si>
    <t xml:space="preserve">Энкодер A/B</t>
  </si>
  <si>
    <t xml:space="preserve">Аппаратный счётчик (PCNT)</t>
  </si>
  <si>
    <t xml:space="preserve">17, 18, 21, 38–42, 47, 48</t>
  </si>
  <si>
    <t xml:space="preserve">Шина к ПЛИС: octal SPI (8 данных + CLK + CS)</t>
  </si>
  <si>
    <t xml:space="preserve">~40 МГц через GPIO-матрицу; 33 Ом последовательно; при выкл. ПЛИС — Hi-Z</t>
  </si>
  <si>
    <t xml:space="preserve">19, 20</t>
  </si>
  <si>
    <t xml:space="preserve">USB D− / D+</t>
  </si>
  <si>
    <t xml:space="preserve">Фиксированы, к порту хаба</t>
  </si>
  <si>
    <t xml:space="preserve">43, 44</t>
  </si>
  <si>
    <t xml:space="preserve">UART0 TX/RX</t>
  </si>
  <si>
    <t xml:space="preserve">Тестовые площадки для отладки</t>
  </si>
  <si>
    <t xml:space="preserve">45</t>
  </si>
  <si>
    <t xml:space="preserve">Включение 5 В модуля ПЛИС</t>
  </si>
  <si>
    <t xml:space="preserve">Strapping VDD_SPI: должен быть низким при старте → подтяжка к GND</t>
  </si>
  <si>
    <t xml:space="preserve">46</t>
  </si>
  <si>
    <t xml:space="preserve">Прерывание от ПЛИС</t>
  </si>
  <si>
    <t xml:space="preserve">Strapping: подтяжка к GND (ПЛИС выключена при старте)</t>
  </si>
  <si>
    <t xml:space="preserve">Подсветка, звук, экран — на ПЛИС. Кнопки, детект SD, ключи питания — на расширителях AW9523B. Свободных GPIO: 1 (GPIO3).</t>
  </si>
  <si>
    <t xml:space="preserve">Бюджет питания и автономность (оценка)</t>
  </si>
  <si>
    <t xml:space="preserve">Синие — допущения, меняй по факту замеров. Первым делом померить ток модуля i9+ по 5 В.</t>
  </si>
  <si>
    <t xml:space="preserve">Ёмкость банки, мА·ч</t>
  </si>
  <si>
    <t xml:space="preserve">Номинальное напряжение, В</t>
  </si>
  <si>
    <t xml:space="preserve">Используемая доля ёмкости</t>
  </si>
  <si>
    <t xml:space="preserve">КПД преобразователей</t>
  </si>
  <si>
    <t xml:space="preserve">Доступная энергия, Вт·ч</t>
  </si>
  <si>
    <t xml:space="preserve">Потребитель, Вт</t>
  </si>
  <si>
    <t xml:space="preserve">Меню</t>
  </si>
  <si>
    <t xml:space="preserve">Игра</t>
  </si>
  <si>
    <t xml:space="preserve">Осциллограф</t>
  </si>
  <si>
    <t xml:space="preserve">Лаб. БП (без нагрузки)</t>
  </si>
  <si>
    <t xml:space="preserve">ESP32-S3 (Wi-Fi выкл.)</t>
  </si>
  <si>
    <t xml:space="preserve">Модуль ПЛИС + SDRAM (PHY в сбросе)</t>
  </si>
  <si>
    <t xml:space="preserve">Подсветка</t>
  </si>
  <si>
    <t xml:space="preserve">Логика панели</t>
  </si>
  <si>
    <t xml:space="preserve">Звук</t>
  </si>
  <si>
    <t xml:space="preserve">Анализатор (трансиверы, VCCIO)</t>
  </si>
  <si>
    <t xml:space="preserve">Мезонин (HMCAD + тракт + ЦАП)</t>
  </si>
  <si>
    <t xml:space="preserve">Лаб. БП: собственное потребление</t>
  </si>
  <si>
    <t xml:space="preserve">Сумма нагрузок, Вт</t>
  </si>
  <si>
    <t xml:space="preserve">Из батареи с учётом КПД, Вт</t>
  </si>
  <si>
    <t xml:space="preserve">Автономность, ч</t>
  </si>
  <si>
    <t xml:space="preserve">Сон / выкл.: ship mode зарядки — микроамперы, ПЛИС и домен USB обесточены. Цель ≥ 5 ч держится во всех режимах, кроме осциллографа (~3–4 ч).</t>
  </si>
  <si>
    <t xml:space="preserve">Ключевые архитектурные решения</t>
  </si>
  <si>
    <t xml:space="preserve">Для схемы, дневника и статьи</t>
  </si>
  <si>
    <t xml:space="preserve">Решение</t>
  </si>
  <si>
    <t xml:space="preserve">Загрузка профилей</t>
  </si>
  <si>
    <t xml:space="preserve">«Золотой загрузчик» во флеше модуля + слоты профилей + тёплый перезапуск IPROG. ESP управляет ключом 5 В модуля (аварийный сброс, полное отключение).</t>
  </si>
  <si>
    <t xml:space="preserve">Экран на ПЛИС. В меню ESP рисует весь кадр (LVGL) и шлёт его, ПЛИС только выводит. В профиле экраном владеет профиль. 16 бит.</t>
  </si>
  <si>
    <t xml:space="preserve">Шина ESP↔ПЛИС</t>
  </si>
  <si>
    <t xml:space="preserve">Octal SPI ~40 МГц, ~30–40 МБ/с. Медленная общая SPI ПЛИС: экран (инициализация), HMCAD, ADS1220, ADF4351.</t>
  </si>
  <si>
    <t xml:space="preserve">Домены питания</t>
  </si>
  <si>
    <t xml:space="preserve">3V3_FPGA включается вместе с модулем: логика панели, микрофон, усилитель, VCCIO FT232H. При выключенной ПЛИС ничто её не подпитывает.</t>
  </si>
  <si>
    <t xml:space="preserve">Type-C без PD, power-path, ship mode, одна кнопка (долго — выкл.; 10+ с — аппаратный сброс). Честный указатель заряда.</t>
  </si>
  <si>
    <t xml:space="preserve">Силовые пины</t>
  </si>
  <si>
    <t xml:space="preserve">P1 → шунт + INA228 → ключ → P2. Режимы: лабораторный БП CV/CC 0,8–20 В (≤5 Вт) и сквозной измеритель до 20 В / 3 А. Осциллограф тока (INA241 → мезонин). Глитчинг ключом P2 с ПЛИС.</t>
  </si>
  <si>
    <t xml:space="preserve">Хаб GL850G: ESP (FS, CDC + диск SD) и FT232H (HS, sync FIFO ~40 МБ/с) для sigrok. Домен USB питается только от VBUS. Без OTG. Wi-Fi-поток — идея.</t>
  </si>
  <si>
    <t xml:space="preserve">HDMI полноразмерный, TMDS_33 с банка 14, TPD12S016; 480p/720p; экран и HDMI — режим в настройках, возможно разное содержимое.</t>
  </si>
  <si>
    <t xml:space="preserve">Всё на ПЛИС: PDM-микрофон, NS4168 + динамик. ESP в меню шлёт звук в ПЛИС. Без наушников.</t>
  </si>
  <si>
    <t xml:space="preserve">Резиновые купола: крестовина, F1–F4, Fn, Меню, Назад (удержание — выход в меню), колесо с нажатием, питание. AW9523B ×2. Вибро LRA + DRV2605L.</t>
  </si>
  <si>
    <t xml:space="preserve">2 разъёма 2×10 (A и B, MITM линия к линии), 10 сигналов + 9 GND + VREF на каждом. SN74LXC1T45 на каждую линию (1,1–5,5 В), VCCIO авто по VREF или вручную. Средняя защита. 400 MS/s ×20 в BRAM, 100–200 MS/s в SDRAM, ~20 MS/s поток.</t>
  </si>
  <si>
    <t xml:space="preserve">Мезонин</t>
  </si>
  <si>
    <t xml:space="preserve">76 × 19 мм, два разъёма 1,27 мм 2×20, стек 9 мм, без горячей замены, опознание по EEPROM. HMCAD1511 2×500 MS/s, ADS1220, генератор AD9744 с выходом 50 Ом; оба SMA переключаются вход/выход.</t>
  </si>
  <si>
    <t xml:space="preserve">Открытые вопросы и проверки до схемы</t>
  </si>
  <si>
    <t xml:space="preserve">Статус меняй по мере закрытия</t>
  </si>
  <si>
    <t xml:space="preserve">Что сделать / проверить</t>
  </si>
  <si>
    <t xml:space="preserve">Когда</t>
  </si>
  <si>
    <t xml:space="preserve">Статус</t>
  </si>
  <si>
    <t xml:space="preserve">Прочитать маркировку ПЛИС: класс скорости -1 или -2 (предел HMCAD: ~800 или ~1000 MS/s)</t>
  </si>
  <si>
    <t xml:space="preserve">Когда приедет модуль</t>
  </si>
  <si>
    <t xml:space="preserve">открыт</t>
  </si>
  <si>
    <t xml:space="preserve">Померить VCCO банков 34, 35, 15, 16 на конденсаторах модуля</t>
  </si>
  <si>
    <t xml:space="preserve">Померить ток модуля по 5 В: простой и под нагрузкой → выбор boost</t>
  </si>
  <si>
    <t xml:space="preserve">Проверить контакты 51/53 (опечатка T4 в доке)</t>
  </si>
  <si>
    <t xml:space="preserve">Прозвонить шлейф экрана 54 pin: подсветка, питание, сторона контактов</t>
  </si>
  <si>
    <t xml:space="preserve">Сейчас</t>
  </si>
  <si>
    <t xml:space="preserve">Сверить высоту HDMI Type A и гнезда SO-DIMM с моделью корпуса</t>
  </si>
  <si>
    <t xml:space="preserve">Передать конструктору: мезонин 76×19, верх ≤1,5 мм, низ до ~7 мм, 2× разъёма 1,27 2×20, SMA на торце, тепловой пад</t>
  </si>
  <si>
    <t xml:space="preserve">Наличие в РФ: TPS55289 / SC8815, SN74LXC1T45, BQ25601 / SGM41511, AD9744, ADF4351</t>
  </si>
  <si>
    <t xml:space="preserve">Перед бартер-письмами</t>
  </si>
  <si>
    <t xml:space="preserve">Купить 2× HMCAD1511 (ЧипСити)</t>
  </si>
  <si>
    <t xml:space="preserve">Выбрать усиление входного тракта: LMH6518 или ступени</t>
  </si>
  <si>
    <t xml:space="preserve">Схема мезонина</t>
  </si>
  <si>
    <t xml:space="preserve">Проверить совместимость выводов SN74LXC1T45 и 74LVC1T45</t>
  </si>
  <si>
    <t xml:space="preserve">Схема</t>
  </si>
  <si>
    <t xml:space="preserve">Проверить в даташите BQ25601 аппаратный сброс по QON</t>
  </si>
  <si>
    <t xml:space="preserve">Оценка тепла мезонина (~1,2–1,5 Вт) в корпусе</t>
  </si>
  <si>
    <t xml:space="preserve">После компоновки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</si>
</sst>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—"/>
    <numFmt numFmtId="166" formatCode="#,##0"/>
    <numFmt numFmtId="167" formatCode="0%"/>
    <numFmt numFmtId="168" formatCode="0.0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1F1F"/>
        <bgColor rgb="FF333300"/>
      </patternFill>
    </fill>
    <fill>
      <patternFill patternType="solid">
        <fgColor rgb="FFE8E8E8"/>
        <bgColor rgb="FFFFF2CC"/>
      </patternFill>
    </fill>
    <fill>
      <patternFill patternType="solid">
        <fgColor rgb="FFFFF2CC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1F1F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23.85" hidden="false" customHeight="false" outlineLevel="0" collapsed="false">
      <c r="A6" s="6" t="n">
        <v>1</v>
      </c>
      <c r="B6" s="6" t="s">
        <v>12</v>
      </c>
      <c r="C6" s="6" t="s">
        <v>13</v>
      </c>
      <c r="D6" s="6" t="s">
        <v>14</v>
      </c>
      <c r="E6" s="6" t="s">
        <v>15</v>
      </c>
      <c r="F6" s="7" t="n">
        <v>1</v>
      </c>
      <c r="G6" s="8"/>
      <c r="H6" s="9" t="str">
        <f aca="false">IF(G6="","",F6*G6)</f>
        <v/>
      </c>
      <c r="I6" s="6" t="s">
        <v>16</v>
      </c>
      <c r="J6" s="6" t="s">
        <v>17</v>
      </c>
    </row>
    <row r="7" customFormat="false" ht="15" hidden="false" customHeight="false" outlineLevel="0" collapsed="false">
      <c r="A7" s="6" t="n">
        <v>2</v>
      </c>
      <c r="B7" s="6" t="s">
        <v>12</v>
      </c>
      <c r="C7" s="6" t="s">
        <v>18</v>
      </c>
      <c r="D7" s="6" t="s">
        <v>19</v>
      </c>
      <c r="E7" s="6" t="s">
        <v>15</v>
      </c>
      <c r="F7" s="7" t="n">
        <v>1</v>
      </c>
      <c r="G7" s="8" t="n">
        <v>150</v>
      </c>
      <c r="H7" s="9" t="n">
        <f aca="false">IF(G7="","",F7*G7)</f>
        <v>150</v>
      </c>
      <c r="I7" s="6" t="s">
        <v>20</v>
      </c>
      <c r="J7" s="6" t="s">
        <v>21</v>
      </c>
    </row>
    <row r="8" customFormat="false" ht="15" hidden="false" customHeight="false" outlineLevel="0" collapsed="false">
      <c r="A8" s="6" t="n">
        <v>3</v>
      </c>
      <c r="B8" s="6" t="s">
        <v>12</v>
      </c>
      <c r="C8" s="6" t="s">
        <v>22</v>
      </c>
      <c r="D8" s="6" t="s">
        <v>23</v>
      </c>
      <c r="E8" s="6" t="s">
        <v>15</v>
      </c>
      <c r="F8" s="7" t="n">
        <v>1</v>
      </c>
      <c r="G8" s="8" t="n">
        <v>380</v>
      </c>
      <c r="H8" s="9" t="n">
        <f aca="false">IF(G8="","",F8*G8)</f>
        <v>380</v>
      </c>
      <c r="I8" s="6" t="s">
        <v>20</v>
      </c>
      <c r="J8" s="6" t="s">
        <v>24</v>
      </c>
    </row>
    <row r="9" customFormat="false" ht="15" hidden="false" customHeight="false" outlineLevel="0" collapsed="false">
      <c r="A9" s="6" t="n">
        <v>4</v>
      </c>
      <c r="B9" s="6" t="s">
        <v>12</v>
      </c>
      <c r="C9" s="6" t="s">
        <v>25</v>
      </c>
      <c r="D9" s="6" t="s">
        <v>26</v>
      </c>
      <c r="E9" s="6" t="s">
        <v>15</v>
      </c>
      <c r="F9" s="7" t="n">
        <v>1</v>
      </c>
      <c r="G9" s="8" t="n">
        <v>5</v>
      </c>
      <c r="H9" s="9" t="n">
        <f aca="false">IF(G9="","",F9*G9)</f>
        <v>5</v>
      </c>
      <c r="I9" s="6" t="s">
        <v>20</v>
      </c>
      <c r="J9" s="6" t="s">
        <v>27</v>
      </c>
    </row>
    <row r="10" customFormat="false" ht="15" hidden="false" customHeight="false" outlineLevel="0" collapsed="false">
      <c r="A10" s="4" t="s">
        <v>28</v>
      </c>
      <c r="B10" s="5"/>
      <c r="C10" s="5"/>
      <c r="D10" s="5"/>
      <c r="E10" s="5"/>
      <c r="F10" s="5"/>
      <c r="G10" s="5"/>
      <c r="H10" s="5"/>
      <c r="I10" s="5"/>
      <c r="J10" s="5"/>
    </row>
    <row r="11" customFormat="false" ht="23.85" hidden="false" customHeight="false" outlineLevel="0" collapsed="false">
      <c r="A11" s="6" t="n">
        <v>5</v>
      </c>
      <c r="B11" s="6" t="s">
        <v>28</v>
      </c>
      <c r="C11" s="6" t="s">
        <v>29</v>
      </c>
      <c r="D11" s="6" t="s">
        <v>30</v>
      </c>
      <c r="E11" s="6" t="s">
        <v>31</v>
      </c>
      <c r="F11" s="7" t="n">
        <v>1</v>
      </c>
      <c r="G11" s="8" t="n">
        <v>100</v>
      </c>
      <c r="H11" s="9" t="n">
        <f aca="false">IF(G11="","",F11*G11)</f>
        <v>100</v>
      </c>
      <c r="I11" s="6" t="s">
        <v>20</v>
      </c>
      <c r="J11" s="6" t="s">
        <v>32</v>
      </c>
    </row>
    <row r="12" customFormat="false" ht="15" hidden="false" customHeight="false" outlineLevel="0" collapsed="false">
      <c r="A12" s="6" t="n">
        <v>6</v>
      </c>
      <c r="B12" s="6" t="s">
        <v>28</v>
      </c>
      <c r="C12" s="6" t="s">
        <v>33</v>
      </c>
      <c r="D12" s="6" t="s">
        <v>34</v>
      </c>
      <c r="E12" s="6" t="s">
        <v>15</v>
      </c>
      <c r="F12" s="7" t="n">
        <v>1</v>
      </c>
      <c r="G12" s="8" t="n">
        <v>20</v>
      </c>
      <c r="H12" s="9" t="n">
        <f aca="false">IF(G12="","",F12*G12)</f>
        <v>20</v>
      </c>
      <c r="I12" s="6" t="s">
        <v>20</v>
      </c>
      <c r="J12" s="6"/>
    </row>
    <row r="13" customFormat="false" ht="23.85" hidden="false" customHeight="false" outlineLevel="0" collapsed="false">
      <c r="A13" s="6" t="n">
        <v>7</v>
      </c>
      <c r="B13" s="6" t="s">
        <v>28</v>
      </c>
      <c r="C13" s="6" t="s">
        <v>35</v>
      </c>
      <c r="D13" s="6" t="s">
        <v>36</v>
      </c>
      <c r="E13" s="6" t="s">
        <v>15</v>
      </c>
      <c r="F13" s="7" t="n">
        <v>1</v>
      </c>
      <c r="G13" s="8" t="n">
        <v>800</v>
      </c>
      <c r="H13" s="9" t="n">
        <f aca="false">IF(G13="","",F13*G13)</f>
        <v>800</v>
      </c>
      <c r="I13" s="6" t="s">
        <v>20</v>
      </c>
      <c r="J13" s="6" t="s">
        <v>37</v>
      </c>
    </row>
    <row r="14" customFormat="false" ht="15" hidden="false" customHeight="false" outlineLevel="0" collapsed="false">
      <c r="A14" s="6" t="n">
        <v>8</v>
      </c>
      <c r="B14" s="6" t="s">
        <v>28</v>
      </c>
      <c r="C14" s="6" t="s">
        <v>38</v>
      </c>
      <c r="D14" s="6" t="s">
        <v>39</v>
      </c>
      <c r="E14" s="6" t="s">
        <v>40</v>
      </c>
      <c r="F14" s="7" t="n">
        <v>1</v>
      </c>
      <c r="G14" s="8" t="n">
        <v>250</v>
      </c>
      <c r="H14" s="9" t="n">
        <f aca="false">IF(G14="","",F14*G14)</f>
        <v>250</v>
      </c>
      <c r="I14" s="6" t="s">
        <v>20</v>
      </c>
      <c r="J14" s="6"/>
    </row>
    <row r="15" customFormat="false" ht="23.85" hidden="false" customHeight="false" outlineLevel="0" collapsed="false">
      <c r="A15" s="6" t="n">
        <v>9</v>
      </c>
      <c r="B15" s="6" t="s">
        <v>28</v>
      </c>
      <c r="C15" s="6" t="s">
        <v>41</v>
      </c>
      <c r="D15" s="6" t="s">
        <v>42</v>
      </c>
      <c r="E15" s="6" t="s">
        <v>43</v>
      </c>
      <c r="F15" s="7" t="n">
        <v>1</v>
      </c>
      <c r="G15" s="8" t="n">
        <v>120</v>
      </c>
      <c r="H15" s="9" t="n">
        <f aca="false">IF(G15="","",F15*G15)</f>
        <v>120</v>
      </c>
      <c r="I15" s="6" t="s">
        <v>20</v>
      </c>
      <c r="J15" s="6" t="s">
        <v>44</v>
      </c>
    </row>
    <row r="16" customFormat="false" ht="15" hidden="false" customHeight="false" outlineLevel="0" collapsed="false">
      <c r="A16" s="6" t="n">
        <v>10</v>
      </c>
      <c r="B16" s="6" t="s">
        <v>28</v>
      </c>
      <c r="C16" s="6" t="s">
        <v>45</v>
      </c>
      <c r="D16" s="6" t="s">
        <v>46</v>
      </c>
      <c r="E16" s="6" t="s">
        <v>47</v>
      </c>
      <c r="F16" s="7" t="n">
        <v>1</v>
      </c>
      <c r="G16" s="8" t="n">
        <v>60</v>
      </c>
      <c r="H16" s="9" t="n">
        <f aca="false">IF(G16="","",F16*G16)</f>
        <v>60</v>
      </c>
      <c r="I16" s="6" t="s">
        <v>20</v>
      </c>
      <c r="J16" s="6" t="s">
        <v>48</v>
      </c>
    </row>
    <row r="17" customFormat="false" ht="23.85" hidden="false" customHeight="false" outlineLevel="0" collapsed="false">
      <c r="A17" s="6" t="n">
        <v>11</v>
      </c>
      <c r="B17" s="6" t="s">
        <v>28</v>
      </c>
      <c r="C17" s="6" t="s">
        <v>49</v>
      </c>
      <c r="D17" s="6" t="s">
        <v>50</v>
      </c>
      <c r="E17" s="6" t="s">
        <v>51</v>
      </c>
      <c r="F17" s="7" t="n">
        <v>1</v>
      </c>
      <c r="G17" s="8" t="n">
        <v>30</v>
      </c>
      <c r="H17" s="9" t="n">
        <f aca="false">IF(G17="","",F17*G17)</f>
        <v>30</v>
      </c>
      <c r="I17" s="6" t="s">
        <v>20</v>
      </c>
      <c r="J17" s="6" t="s">
        <v>52</v>
      </c>
    </row>
    <row r="18" customFormat="false" ht="23.85" hidden="false" customHeight="false" outlineLevel="0" collapsed="false">
      <c r="A18" s="6" t="n">
        <v>12</v>
      </c>
      <c r="B18" s="6" t="s">
        <v>28</v>
      </c>
      <c r="C18" s="6" t="s">
        <v>53</v>
      </c>
      <c r="D18" s="6" t="s">
        <v>54</v>
      </c>
      <c r="E18" s="6" t="s">
        <v>15</v>
      </c>
      <c r="F18" s="7" t="n">
        <v>5</v>
      </c>
      <c r="G18" s="8" t="n">
        <v>25</v>
      </c>
      <c r="H18" s="9" t="n">
        <f aca="false">IF(G18="","",F18*G18)</f>
        <v>125</v>
      </c>
      <c r="I18" s="6" t="s">
        <v>20</v>
      </c>
      <c r="J18" s="6" t="s">
        <v>55</v>
      </c>
    </row>
    <row r="19" customFormat="false" ht="15" hidden="false" customHeight="false" outlineLevel="0" collapsed="false">
      <c r="A19" s="6" t="n">
        <v>13</v>
      </c>
      <c r="B19" s="6" t="s">
        <v>28</v>
      </c>
      <c r="C19" s="6" t="s">
        <v>56</v>
      </c>
      <c r="D19" s="6" t="s">
        <v>57</v>
      </c>
      <c r="E19" s="6" t="s">
        <v>15</v>
      </c>
      <c r="F19" s="7" t="n">
        <v>1</v>
      </c>
      <c r="G19" s="8" t="n">
        <v>180</v>
      </c>
      <c r="H19" s="9" t="n">
        <f aca="false">IF(G19="","",F19*G19)</f>
        <v>180</v>
      </c>
      <c r="I19" s="6" t="s">
        <v>58</v>
      </c>
      <c r="J19" s="6" t="s">
        <v>59</v>
      </c>
    </row>
    <row r="20" customFormat="false" ht="23.85" hidden="false" customHeight="false" outlineLevel="0" collapsed="false">
      <c r="A20" s="6" t="n">
        <v>14</v>
      </c>
      <c r="B20" s="6" t="s">
        <v>28</v>
      </c>
      <c r="C20" s="6" t="s">
        <v>60</v>
      </c>
      <c r="D20" s="6" t="s">
        <v>61</v>
      </c>
      <c r="E20" s="6" t="s">
        <v>15</v>
      </c>
      <c r="F20" s="7" t="n">
        <v>1</v>
      </c>
      <c r="G20" s="8" t="n">
        <v>15</v>
      </c>
      <c r="H20" s="9" t="n">
        <f aca="false">IF(G20="","",F20*G20)</f>
        <v>15</v>
      </c>
      <c r="I20" s="6" t="s">
        <v>20</v>
      </c>
      <c r="J20" s="6"/>
    </row>
    <row r="21" customFormat="false" ht="15" hidden="false" customHeight="false" outlineLevel="0" collapsed="false">
      <c r="A21" s="4" t="s">
        <v>62</v>
      </c>
      <c r="B21" s="5"/>
      <c r="C21" s="5"/>
      <c r="D21" s="5"/>
      <c r="E21" s="5"/>
      <c r="F21" s="5"/>
      <c r="G21" s="5"/>
      <c r="H21" s="5"/>
      <c r="I21" s="5"/>
      <c r="J21" s="5"/>
    </row>
    <row r="22" customFormat="false" ht="23.85" hidden="false" customHeight="false" outlineLevel="0" collapsed="false">
      <c r="A22" s="6" t="n">
        <v>15</v>
      </c>
      <c r="B22" s="6" t="s">
        <v>62</v>
      </c>
      <c r="C22" s="6" t="s">
        <v>63</v>
      </c>
      <c r="D22" s="6" t="s">
        <v>64</v>
      </c>
      <c r="E22" s="6" t="s">
        <v>65</v>
      </c>
      <c r="F22" s="7" t="n">
        <v>1</v>
      </c>
      <c r="G22" s="8" t="n">
        <v>300</v>
      </c>
      <c r="H22" s="9" t="n">
        <f aca="false">IF(G22="","",F22*G22)</f>
        <v>300</v>
      </c>
      <c r="I22" s="6" t="s">
        <v>58</v>
      </c>
      <c r="J22" s="6" t="s">
        <v>66</v>
      </c>
    </row>
    <row r="23" customFormat="false" ht="23.85" hidden="false" customHeight="false" outlineLevel="0" collapsed="false">
      <c r="A23" s="6" t="n">
        <v>16</v>
      </c>
      <c r="B23" s="6" t="s">
        <v>62</v>
      </c>
      <c r="C23" s="6" t="s">
        <v>67</v>
      </c>
      <c r="D23" s="6" t="s">
        <v>68</v>
      </c>
      <c r="E23" s="6" t="s">
        <v>15</v>
      </c>
      <c r="F23" s="7" t="n">
        <v>1</v>
      </c>
      <c r="G23" s="8" t="n">
        <v>120</v>
      </c>
      <c r="H23" s="9" t="n">
        <f aca="false">IF(G23="","",F23*G23)</f>
        <v>120</v>
      </c>
      <c r="I23" s="6" t="s">
        <v>58</v>
      </c>
      <c r="J23" s="6" t="s">
        <v>69</v>
      </c>
    </row>
    <row r="24" customFormat="false" ht="23.85" hidden="false" customHeight="false" outlineLevel="0" collapsed="false">
      <c r="A24" s="6" t="n">
        <v>17</v>
      </c>
      <c r="B24" s="6" t="s">
        <v>62</v>
      </c>
      <c r="C24" s="6" t="s">
        <v>70</v>
      </c>
      <c r="D24" s="6" t="s">
        <v>71</v>
      </c>
      <c r="E24" s="6" t="s">
        <v>72</v>
      </c>
      <c r="F24" s="7" t="n">
        <v>1</v>
      </c>
      <c r="G24" s="8" t="n">
        <v>350</v>
      </c>
      <c r="H24" s="9" t="n">
        <f aca="false">IF(G24="","",F24*G24)</f>
        <v>350</v>
      </c>
      <c r="I24" s="6" t="s">
        <v>58</v>
      </c>
      <c r="J24" s="6" t="s">
        <v>73</v>
      </c>
    </row>
    <row r="25" customFormat="false" ht="23.85" hidden="false" customHeight="false" outlineLevel="0" collapsed="false">
      <c r="A25" s="6" t="n">
        <v>18</v>
      </c>
      <c r="B25" s="6" t="s">
        <v>62</v>
      </c>
      <c r="C25" s="6" t="s">
        <v>74</v>
      </c>
      <c r="D25" s="6" t="s">
        <v>75</v>
      </c>
      <c r="E25" s="6" t="s">
        <v>76</v>
      </c>
      <c r="F25" s="7" t="n">
        <v>1</v>
      </c>
      <c r="G25" s="8" t="n">
        <v>200</v>
      </c>
      <c r="H25" s="9" t="n">
        <f aca="false">IF(G25="","",F25*G25)</f>
        <v>200</v>
      </c>
      <c r="I25" s="6" t="s">
        <v>58</v>
      </c>
      <c r="J25" s="6" t="s">
        <v>77</v>
      </c>
    </row>
    <row r="26" customFormat="false" ht="23.85" hidden="false" customHeight="false" outlineLevel="0" collapsed="false">
      <c r="A26" s="6" t="n">
        <v>19</v>
      </c>
      <c r="B26" s="6" t="s">
        <v>62</v>
      </c>
      <c r="C26" s="6" t="s">
        <v>78</v>
      </c>
      <c r="D26" s="6" t="s">
        <v>79</v>
      </c>
      <c r="E26" s="6" t="s">
        <v>80</v>
      </c>
      <c r="F26" s="7" t="n">
        <v>1</v>
      </c>
      <c r="G26" s="8" t="n">
        <v>80</v>
      </c>
      <c r="H26" s="9" t="n">
        <f aca="false">IF(G26="","",F26*G26)</f>
        <v>80</v>
      </c>
      <c r="I26" s="6" t="s">
        <v>20</v>
      </c>
      <c r="J26" s="6" t="s">
        <v>81</v>
      </c>
    </row>
    <row r="27" customFormat="false" ht="23.85" hidden="false" customHeight="false" outlineLevel="0" collapsed="false">
      <c r="A27" s="6" t="n">
        <v>20</v>
      </c>
      <c r="B27" s="6" t="s">
        <v>62</v>
      </c>
      <c r="C27" s="6" t="s">
        <v>82</v>
      </c>
      <c r="D27" s="6" t="s">
        <v>83</v>
      </c>
      <c r="E27" s="6" t="s">
        <v>15</v>
      </c>
      <c r="F27" s="7" t="n">
        <v>2</v>
      </c>
      <c r="G27" s="8" t="n">
        <v>15</v>
      </c>
      <c r="H27" s="9" t="n">
        <f aca="false">IF(G27="","",F27*G27)</f>
        <v>30</v>
      </c>
      <c r="I27" s="6" t="s">
        <v>20</v>
      </c>
      <c r="J27" s="6" t="s">
        <v>84</v>
      </c>
    </row>
    <row r="28" customFormat="false" ht="23.85" hidden="false" customHeight="false" outlineLevel="0" collapsed="false">
      <c r="A28" s="6" t="n">
        <v>21</v>
      </c>
      <c r="B28" s="6" t="s">
        <v>62</v>
      </c>
      <c r="C28" s="6" t="s">
        <v>85</v>
      </c>
      <c r="D28" s="6" t="s">
        <v>86</v>
      </c>
      <c r="E28" s="6" t="s">
        <v>15</v>
      </c>
      <c r="F28" s="7" t="n">
        <v>1</v>
      </c>
      <c r="G28" s="8" t="n">
        <v>10</v>
      </c>
      <c r="H28" s="9" t="n">
        <f aca="false">IF(G28="","",F28*G28)</f>
        <v>10</v>
      </c>
      <c r="I28" s="6" t="s">
        <v>20</v>
      </c>
      <c r="J28" s="6" t="s">
        <v>87</v>
      </c>
    </row>
    <row r="29" customFormat="false" ht="15" hidden="false" customHeight="false" outlineLevel="0" collapsed="false">
      <c r="A29" s="4" t="s">
        <v>88</v>
      </c>
      <c r="B29" s="5"/>
      <c r="C29" s="5"/>
      <c r="D29" s="5"/>
      <c r="E29" s="5"/>
      <c r="F29" s="5"/>
      <c r="G29" s="5"/>
      <c r="H29" s="5"/>
      <c r="I29" s="5"/>
      <c r="J29" s="5"/>
    </row>
    <row r="30" customFormat="false" ht="23.85" hidden="false" customHeight="false" outlineLevel="0" collapsed="false">
      <c r="A30" s="6" t="n">
        <v>22</v>
      </c>
      <c r="B30" s="6" t="s">
        <v>88</v>
      </c>
      <c r="C30" s="6" t="s">
        <v>89</v>
      </c>
      <c r="D30" s="6" t="s">
        <v>90</v>
      </c>
      <c r="E30" s="6" t="s">
        <v>15</v>
      </c>
      <c r="F30" s="7" t="n">
        <v>1</v>
      </c>
      <c r="G30" s="8" t="n">
        <v>30</v>
      </c>
      <c r="H30" s="9" t="n">
        <f aca="false">IF(G30="","",F30*G30)</f>
        <v>30</v>
      </c>
      <c r="I30" s="6" t="s">
        <v>20</v>
      </c>
      <c r="J30" s="6" t="s">
        <v>91</v>
      </c>
    </row>
    <row r="31" customFormat="false" ht="15" hidden="false" customHeight="false" outlineLevel="0" collapsed="false">
      <c r="A31" s="6" t="n">
        <v>23</v>
      </c>
      <c r="B31" s="6" t="s">
        <v>88</v>
      </c>
      <c r="C31" s="6" t="s">
        <v>92</v>
      </c>
      <c r="D31" s="6" t="s">
        <v>93</v>
      </c>
      <c r="E31" s="6" t="s">
        <v>94</v>
      </c>
      <c r="F31" s="7" t="n">
        <v>1</v>
      </c>
      <c r="G31" s="8" t="n">
        <v>15</v>
      </c>
      <c r="H31" s="9" t="n">
        <f aca="false">IF(G31="","",F31*G31)</f>
        <v>15</v>
      </c>
      <c r="I31" s="6" t="s">
        <v>20</v>
      </c>
      <c r="J31" s="6"/>
    </row>
    <row r="32" customFormat="false" ht="15" hidden="false" customHeight="false" outlineLevel="0" collapsed="false">
      <c r="A32" s="6" t="n">
        <v>24</v>
      </c>
      <c r="B32" s="6" t="s">
        <v>88</v>
      </c>
      <c r="C32" s="6" t="s">
        <v>95</v>
      </c>
      <c r="D32" s="6" t="s">
        <v>96</v>
      </c>
      <c r="E32" s="6" t="s">
        <v>15</v>
      </c>
      <c r="F32" s="7" t="n">
        <v>1</v>
      </c>
      <c r="G32" s="8" t="n">
        <v>10</v>
      </c>
      <c r="H32" s="9" t="n">
        <f aca="false">IF(G32="","",F32*G32)</f>
        <v>10</v>
      </c>
      <c r="I32" s="6" t="s">
        <v>20</v>
      </c>
      <c r="J32" s="6" t="s">
        <v>97</v>
      </c>
    </row>
    <row r="33" customFormat="false" ht="15" hidden="false" customHeight="false" outlineLevel="0" collapsed="false">
      <c r="A33" s="6" t="n">
        <v>25</v>
      </c>
      <c r="B33" s="6" t="s">
        <v>88</v>
      </c>
      <c r="C33" s="6" t="s">
        <v>98</v>
      </c>
      <c r="D33" s="6" t="s">
        <v>99</v>
      </c>
      <c r="E33" s="6" t="s">
        <v>100</v>
      </c>
      <c r="F33" s="7" t="n">
        <v>1</v>
      </c>
      <c r="G33" s="8" t="n">
        <v>60</v>
      </c>
      <c r="H33" s="9" t="n">
        <f aca="false">IF(G33="","",F33*G33)</f>
        <v>60</v>
      </c>
      <c r="I33" s="6" t="s">
        <v>20</v>
      </c>
      <c r="J33" s="6" t="s">
        <v>101</v>
      </c>
    </row>
    <row r="34" customFormat="false" ht="23.85" hidden="false" customHeight="false" outlineLevel="0" collapsed="false">
      <c r="A34" s="6" t="n">
        <v>26</v>
      </c>
      <c r="B34" s="6" t="s">
        <v>88</v>
      </c>
      <c r="C34" s="6" t="s">
        <v>102</v>
      </c>
      <c r="D34" s="6" t="s">
        <v>103</v>
      </c>
      <c r="E34" s="6" t="s">
        <v>104</v>
      </c>
      <c r="F34" s="7" t="n">
        <v>1</v>
      </c>
      <c r="G34" s="8" t="n">
        <v>700</v>
      </c>
      <c r="H34" s="9" t="n">
        <f aca="false">IF(G34="","",F34*G34)</f>
        <v>700</v>
      </c>
      <c r="I34" s="6" t="s">
        <v>20</v>
      </c>
      <c r="J34" s="6" t="s">
        <v>105</v>
      </c>
    </row>
    <row r="35" customFormat="false" ht="15" hidden="false" customHeight="false" outlineLevel="0" collapsed="false">
      <c r="A35" s="6" t="n">
        <v>27</v>
      </c>
      <c r="B35" s="6" t="s">
        <v>88</v>
      </c>
      <c r="C35" s="6" t="s">
        <v>106</v>
      </c>
      <c r="D35" s="6" t="s">
        <v>107</v>
      </c>
      <c r="E35" s="6" t="s">
        <v>15</v>
      </c>
      <c r="F35" s="7" t="n">
        <v>1</v>
      </c>
      <c r="G35" s="8" t="n">
        <v>20</v>
      </c>
      <c r="H35" s="9" t="n">
        <f aca="false">IF(G35="","",F35*G35)</f>
        <v>20</v>
      </c>
      <c r="I35" s="6" t="s">
        <v>20</v>
      </c>
      <c r="J35" s="6" t="s">
        <v>108</v>
      </c>
    </row>
    <row r="36" customFormat="false" ht="15" hidden="false" customHeight="false" outlineLevel="0" collapsed="false">
      <c r="A36" s="6" t="n">
        <v>28</v>
      </c>
      <c r="B36" s="6" t="s">
        <v>88</v>
      </c>
      <c r="C36" s="6" t="s">
        <v>109</v>
      </c>
      <c r="D36" s="6" t="s">
        <v>110</v>
      </c>
      <c r="E36" s="6" t="s">
        <v>111</v>
      </c>
      <c r="F36" s="7" t="n">
        <v>1</v>
      </c>
      <c r="G36" s="8" t="n">
        <v>10</v>
      </c>
      <c r="H36" s="9" t="n">
        <f aca="false">IF(G36="","",F36*G36)</f>
        <v>10</v>
      </c>
      <c r="I36" s="6" t="s">
        <v>20</v>
      </c>
      <c r="J36" s="6" t="s">
        <v>112</v>
      </c>
    </row>
    <row r="37" customFormat="false" ht="15" hidden="false" customHeight="false" outlineLevel="0" collapsed="false">
      <c r="A37" s="4" t="s">
        <v>113</v>
      </c>
      <c r="B37" s="5"/>
      <c r="C37" s="5"/>
      <c r="D37" s="5"/>
      <c r="E37" s="5"/>
      <c r="F37" s="5"/>
      <c r="G37" s="5"/>
      <c r="H37" s="5"/>
      <c r="I37" s="5"/>
      <c r="J37" s="5"/>
    </row>
    <row r="38" customFormat="false" ht="23.85" hidden="false" customHeight="false" outlineLevel="0" collapsed="false">
      <c r="A38" s="6" t="n">
        <v>29</v>
      </c>
      <c r="B38" s="6" t="s">
        <v>113</v>
      </c>
      <c r="C38" s="6" t="s">
        <v>114</v>
      </c>
      <c r="D38" s="6" t="s">
        <v>115</v>
      </c>
      <c r="E38" s="6" t="s">
        <v>15</v>
      </c>
      <c r="F38" s="7" t="n">
        <v>1</v>
      </c>
      <c r="G38" s="8"/>
      <c r="H38" s="9" t="str">
        <f aca="false">IF(G38="","",F38*G38)</f>
        <v/>
      </c>
      <c r="I38" s="6" t="s">
        <v>16</v>
      </c>
      <c r="J38" s="6" t="s">
        <v>116</v>
      </c>
    </row>
    <row r="39" customFormat="false" ht="15" hidden="false" customHeight="false" outlineLevel="0" collapsed="false">
      <c r="A39" s="6" t="n">
        <v>30</v>
      </c>
      <c r="B39" s="6" t="s">
        <v>113</v>
      </c>
      <c r="C39" s="6" t="s">
        <v>117</v>
      </c>
      <c r="D39" s="6" t="s">
        <v>118</v>
      </c>
      <c r="E39" s="6" t="s">
        <v>15</v>
      </c>
      <c r="F39" s="7" t="n">
        <v>1</v>
      </c>
      <c r="G39" s="8" t="n">
        <v>50</v>
      </c>
      <c r="H39" s="9" t="n">
        <f aca="false">IF(G39="","",F39*G39)</f>
        <v>50</v>
      </c>
      <c r="I39" s="6" t="s">
        <v>20</v>
      </c>
      <c r="J39" s="6" t="s">
        <v>119</v>
      </c>
    </row>
    <row r="40" customFormat="false" ht="23.85" hidden="false" customHeight="false" outlineLevel="0" collapsed="false">
      <c r="A40" s="6" t="n">
        <v>31</v>
      </c>
      <c r="B40" s="6" t="s">
        <v>113</v>
      </c>
      <c r="C40" s="6" t="s">
        <v>120</v>
      </c>
      <c r="D40" s="6" t="s">
        <v>121</v>
      </c>
      <c r="E40" s="6" t="s">
        <v>122</v>
      </c>
      <c r="F40" s="7" t="n">
        <v>1</v>
      </c>
      <c r="G40" s="8" t="n">
        <v>80</v>
      </c>
      <c r="H40" s="9" t="n">
        <f aca="false">IF(G40="","",F40*G40)</f>
        <v>80</v>
      </c>
      <c r="I40" s="6" t="s">
        <v>20</v>
      </c>
      <c r="J40" s="6" t="s">
        <v>123</v>
      </c>
    </row>
    <row r="41" customFormat="false" ht="23.85" hidden="false" customHeight="false" outlineLevel="0" collapsed="false">
      <c r="A41" s="6" t="n">
        <v>32</v>
      </c>
      <c r="B41" s="6" t="s">
        <v>113</v>
      </c>
      <c r="C41" s="6" t="s">
        <v>124</v>
      </c>
      <c r="D41" s="6" t="s">
        <v>125</v>
      </c>
      <c r="E41" s="6" t="s">
        <v>15</v>
      </c>
      <c r="F41" s="7" t="n">
        <v>1</v>
      </c>
      <c r="G41" s="8" t="n">
        <v>60</v>
      </c>
      <c r="H41" s="9" t="n">
        <f aca="false">IF(G41="","",F41*G41)</f>
        <v>60</v>
      </c>
      <c r="I41" s="6" t="s">
        <v>20</v>
      </c>
      <c r="J41" s="6" t="s">
        <v>126</v>
      </c>
    </row>
    <row r="42" customFormat="false" ht="15" hidden="false" customHeight="false" outlineLevel="0" collapsed="false">
      <c r="A42" s="6" t="n">
        <v>33</v>
      </c>
      <c r="B42" s="6" t="s">
        <v>113</v>
      </c>
      <c r="C42" s="6" t="s">
        <v>127</v>
      </c>
      <c r="D42" s="6" t="s">
        <v>128</v>
      </c>
      <c r="E42" s="6" t="s">
        <v>15</v>
      </c>
      <c r="F42" s="7" t="n">
        <v>1</v>
      </c>
      <c r="G42" s="8" t="n">
        <v>120</v>
      </c>
      <c r="H42" s="9" t="n">
        <f aca="false">IF(G42="","",F42*G42)</f>
        <v>120</v>
      </c>
      <c r="I42" s="6" t="s">
        <v>20</v>
      </c>
      <c r="J42" s="6"/>
    </row>
    <row r="43" customFormat="false" ht="15" hidden="false" customHeight="false" outlineLevel="0" collapsed="false">
      <c r="A43" s="4" t="s">
        <v>129</v>
      </c>
      <c r="B43" s="5"/>
      <c r="C43" s="5"/>
      <c r="D43" s="5"/>
      <c r="E43" s="5"/>
      <c r="F43" s="5"/>
      <c r="G43" s="5"/>
      <c r="H43" s="5"/>
      <c r="I43" s="5"/>
      <c r="J43" s="5"/>
    </row>
    <row r="44" customFormat="false" ht="23.85" hidden="false" customHeight="false" outlineLevel="0" collapsed="false">
      <c r="A44" s="6" t="n">
        <v>34</v>
      </c>
      <c r="B44" s="6" t="s">
        <v>129</v>
      </c>
      <c r="C44" s="6" t="s">
        <v>130</v>
      </c>
      <c r="D44" s="6" t="s">
        <v>131</v>
      </c>
      <c r="E44" s="6" t="s">
        <v>132</v>
      </c>
      <c r="F44" s="7" t="n">
        <v>2</v>
      </c>
      <c r="G44" s="8" t="n">
        <v>25</v>
      </c>
      <c r="H44" s="9" t="n">
        <f aca="false">IF(G44="","",F44*G44)</f>
        <v>50</v>
      </c>
      <c r="I44" s="6" t="s">
        <v>20</v>
      </c>
      <c r="J44" s="6" t="s">
        <v>133</v>
      </c>
    </row>
    <row r="45" customFormat="false" ht="23.85" hidden="false" customHeight="false" outlineLevel="0" collapsed="false">
      <c r="A45" s="6" t="n">
        <v>35</v>
      </c>
      <c r="B45" s="6" t="s">
        <v>129</v>
      </c>
      <c r="C45" s="6" t="s">
        <v>134</v>
      </c>
      <c r="D45" s="6" t="s">
        <v>135</v>
      </c>
      <c r="E45" s="6" t="s">
        <v>136</v>
      </c>
      <c r="F45" s="7" t="n">
        <v>1</v>
      </c>
      <c r="G45" s="8" t="n">
        <v>300</v>
      </c>
      <c r="H45" s="9" t="n">
        <f aca="false">IF(G45="","",F45*G45)</f>
        <v>300</v>
      </c>
      <c r="I45" s="6" t="s">
        <v>20</v>
      </c>
      <c r="J45" s="6" t="s">
        <v>137</v>
      </c>
    </row>
    <row r="46" customFormat="false" ht="23.85" hidden="false" customHeight="false" outlineLevel="0" collapsed="false">
      <c r="A46" s="6" t="n">
        <v>36</v>
      </c>
      <c r="B46" s="6" t="s">
        <v>129</v>
      </c>
      <c r="C46" s="6" t="s">
        <v>138</v>
      </c>
      <c r="D46" s="6" t="s">
        <v>139</v>
      </c>
      <c r="E46" s="6" t="s">
        <v>15</v>
      </c>
      <c r="F46" s="7" t="n">
        <v>1</v>
      </c>
      <c r="G46" s="8" t="n">
        <v>30</v>
      </c>
      <c r="H46" s="9" t="n">
        <f aca="false">IF(G46="","",F46*G46)</f>
        <v>30</v>
      </c>
      <c r="I46" s="6" t="s">
        <v>20</v>
      </c>
      <c r="J46" s="6" t="s">
        <v>140</v>
      </c>
    </row>
    <row r="47" customFormat="false" ht="15" hidden="false" customHeight="false" outlineLevel="0" collapsed="false">
      <c r="A47" s="6" t="n">
        <v>37</v>
      </c>
      <c r="B47" s="6" t="s">
        <v>129</v>
      </c>
      <c r="C47" s="6" t="s">
        <v>141</v>
      </c>
      <c r="D47" s="6" t="s">
        <v>142</v>
      </c>
      <c r="E47" s="6" t="s">
        <v>15</v>
      </c>
      <c r="F47" s="7" t="n">
        <v>1</v>
      </c>
      <c r="G47" s="8" t="n">
        <v>5</v>
      </c>
      <c r="H47" s="9" t="n">
        <f aca="false">IF(G47="","",F47*G47)</f>
        <v>5</v>
      </c>
      <c r="I47" s="6" t="s">
        <v>20</v>
      </c>
      <c r="J47" s="6"/>
    </row>
    <row r="48" customFormat="false" ht="15" hidden="false" customHeight="false" outlineLevel="0" collapsed="false">
      <c r="A48" s="4" t="s">
        <v>143</v>
      </c>
      <c r="B48" s="5"/>
      <c r="C48" s="5"/>
      <c r="D48" s="5"/>
      <c r="E48" s="5"/>
      <c r="F48" s="5"/>
      <c r="G48" s="5"/>
      <c r="H48" s="5"/>
      <c r="I48" s="5"/>
      <c r="J48" s="5"/>
    </row>
    <row r="49" customFormat="false" ht="15" hidden="false" customHeight="false" outlineLevel="0" collapsed="false">
      <c r="A49" s="6" t="n">
        <v>38</v>
      </c>
      <c r="B49" s="6" t="s">
        <v>143</v>
      </c>
      <c r="C49" s="6" t="s">
        <v>144</v>
      </c>
      <c r="D49" s="6" t="s">
        <v>145</v>
      </c>
      <c r="E49" s="6" t="s">
        <v>146</v>
      </c>
      <c r="F49" s="7" t="n">
        <v>1</v>
      </c>
      <c r="G49" s="8" t="n">
        <v>60</v>
      </c>
      <c r="H49" s="9" t="n">
        <f aca="false">IF(G49="","",F49*G49)</f>
        <v>60</v>
      </c>
      <c r="I49" s="6" t="s">
        <v>20</v>
      </c>
      <c r="J49" s="6" t="s">
        <v>147</v>
      </c>
    </row>
    <row r="50" customFormat="false" ht="15" hidden="false" customHeight="false" outlineLevel="0" collapsed="false">
      <c r="A50" s="6" t="n">
        <v>39</v>
      </c>
      <c r="B50" s="6" t="s">
        <v>143</v>
      </c>
      <c r="C50" s="6" t="s">
        <v>148</v>
      </c>
      <c r="D50" s="6" t="s">
        <v>149</v>
      </c>
      <c r="E50" s="6" t="s">
        <v>150</v>
      </c>
      <c r="F50" s="7" t="n">
        <v>1</v>
      </c>
      <c r="G50" s="8" t="n">
        <v>15</v>
      </c>
      <c r="H50" s="9" t="n">
        <f aca="false">IF(G50="","",F50*G50)</f>
        <v>15</v>
      </c>
      <c r="I50" s="6" t="s">
        <v>20</v>
      </c>
      <c r="J50" s="6" t="s">
        <v>151</v>
      </c>
    </row>
    <row r="51" customFormat="false" ht="15" hidden="false" customHeight="false" outlineLevel="0" collapsed="false">
      <c r="A51" s="6" t="n">
        <v>40</v>
      </c>
      <c r="B51" s="6" t="s">
        <v>143</v>
      </c>
      <c r="C51" s="6" t="s">
        <v>152</v>
      </c>
      <c r="D51" s="6" t="s">
        <v>153</v>
      </c>
      <c r="E51" s="6" t="s">
        <v>15</v>
      </c>
      <c r="F51" s="7" t="n">
        <v>1</v>
      </c>
      <c r="G51" s="8" t="n">
        <v>50</v>
      </c>
      <c r="H51" s="9" t="n">
        <f aca="false">IF(G51="","",F51*G51)</f>
        <v>50</v>
      </c>
      <c r="I51" s="6" t="s">
        <v>20</v>
      </c>
      <c r="J51" s="6" t="s">
        <v>154</v>
      </c>
    </row>
    <row r="52" customFormat="false" ht="15" hidden="false" customHeight="false" outlineLevel="0" collapsed="false">
      <c r="A52" s="6" t="n">
        <v>41</v>
      </c>
      <c r="B52" s="6" t="s">
        <v>143</v>
      </c>
      <c r="C52" s="6" t="s">
        <v>155</v>
      </c>
      <c r="D52" s="6" t="s">
        <v>156</v>
      </c>
      <c r="E52" s="6" t="s">
        <v>15</v>
      </c>
      <c r="F52" s="7" t="n">
        <v>1</v>
      </c>
      <c r="G52" s="8" t="n">
        <v>200</v>
      </c>
      <c r="H52" s="9" t="n">
        <f aca="false">IF(G52="","",F52*G52)</f>
        <v>200</v>
      </c>
      <c r="I52" s="6" t="s">
        <v>20</v>
      </c>
      <c r="J52" s="6" t="s">
        <v>157</v>
      </c>
    </row>
    <row r="53" customFormat="false" ht="15" hidden="false" customHeight="false" outlineLevel="0" collapsed="false">
      <c r="A53" s="6" t="n">
        <v>42</v>
      </c>
      <c r="B53" s="6" t="s">
        <v>143</v>
      </c>
      <c r="C53" s="6" t="s">
        <v>158</v>
      </c>
      <c r="D53" s="6" t="s">
        <v>159</v>
      </c>
      <c r="E53" s="6" t="s">
        <v>15</v>
      </c>
      <c r="F53" s="7" t="n">
        <v>1</v>
      </c>
      <c r="G53" s="8" t="n">
        <v>80</v>
      </c>
      <c r="H53" s="9" t="n">
        <f aca="false">IF(G53="","",F53*G53)</f>
        <v>80</v>
      </c>
      <c r="I53" s="6" t="s">
        <v>20</v>
      </c>
      <c r="J53" s="6"/>
    </row>
    <row r="54" customFormat="false" ht="15" hidden="false" customHeight="false" outlineLevel="0" collapsed="false">
      <c r="A54" s="4" t="s">
        <v>160</v>
      </c>
      <c r="B54" s="5"/>
      <c r="C54" s="5"/>
      <c r="D54" s="5"/>
      <c r="E54" s="5"/>
      <c r="F54" s="5"/>
      <c r="G54" s="5"/>
      <c r="H54" s="5"/>
      <c r="I54" s="5"/>
      <c r="J54" s="5"/>
    </row>
    <row r="55" customFormat="false" ht="23.85" hidden="false" customHeight="false" outlineLevel="0" collapsed="false">
      <c r="A55" s="6" t="n">
        <v>43</v>
      </c>
      <c r="B55" s="6" t="s">
        <v>160</v>
      </c>
      <c r="C55" s="6" t="s">
        <v>161</v>
      </c>
      <c r="D55" s="6" t="s">
        <v>162</v>
      </c>
      <c r="E55" s="6" t="s">
        <v>163</v>
      </c>
      <c r="F55" s="7" t="n">
        <v>1</v>
      </c>
      <c r="G55" s="8" t="n">
        <v>25</v>
      </c>
      <c r="H55" s="9" t="n">
        <f aca="false">IF(G55="","",F55*G55)</f>
        <v>25</v>
      </c>
      <c r="I55" s="6" t="s">
        <v>20</v>
      </c>
      <c r="J55" s="6" t="s">
        <v>164</v>
      </c>
    </row>
    <row r="56" customFormat="false" ht="23.85" hidden="false" customHeight="false" outlineLevel="0" collapsed="false">
      <c r="A56" s="6" t="n">
        <v>44</v>
      </c>
      <c r="B56" s="6" t="s">
        <v>160</v>
      </c>
      <c r="C56" s="6" t="s">
        <v>165</v>
      </c>
      <c r="D56" s="6" t="s">
        <v>166</v>
      </c>
      <c r="E56" s="6" t="s">
        <v>167</v>
      </c>
      <c r="F56" s="7" t="n">
        <v>1</v>
      </c>
      <c r="G56" s="8" t="n">
        <v>25</v>
      </c>
      <c r="H56" s="9" t="n">
        <f aca="false">IF(G56="","",F56*G56)</f>
        <v>25</v>
      </c>
      <c r="I56" s="6" t="s">
        <v>20</v>
      </c>
      <c r="J56" s="6" t="s">
        <v>168</v>
      </c>
    </row>
    <row r="57" customFormat="false" ht="15" hidden="false" customHeight="false" outlineLevel="0" collapsed="false">
      <c r="A57" s="4" t="s">
        <v>169</v>
      </c>
      <c r="B57" s="5"/>
      <c r="C57" s="5"/>
      <c r="D57" s="5"/>
      <c r="E57" s="5"/>
      <c r="F57" s="5"/>
      <c r="G57" s="5"/>
      <c r="H57" s="5"/>
      <c r="I57" s="5"/>
      <c r="J57" s="5"/>
    </row>
    <row r="58" customFormat="false" ht="23.85" hidden="false" customHeight="false" outlineLevel="0" collapsed="false">
      <c r="A58" s="6" t="n">
        <v>45</v>
      </c>
      <c r="B58" s="6" t="s">
        <v>169</v>
      </c>
      <c r="C58" s="6" t="s">
        <v>170</v>
      </c>
      <c r="D58" s="6" t="s">
        <v>171</v>
      </c>
      <c r="E58" s="6" t="s">
        <v>172</v>
      </c>
      <c r="F58" s="7" t="n">
        <v>20</v>
      </c>
      <c r="G58" s="8" t="n">
        <v>35</v>
      </c>
      <c r="H58" s="9" t="n">
        <f aca="false">IF(G58="","",F58*G58)</f>
        <v>700</v>
      </c>
      <c r="I58" s="6" t="s">
        <v>58</v>
      </c>
      <c r="J58" s="6" t="s">
        <v>173</v>
      </c>
    </row>
    <row r="59" customFormat="false" ht="23.85" hidden="false" customHeight="false" outlineLevel="0" collapsed="false">
      <c r="A59" s="6" t="n">
        <v>46</v>
      </c>
      <c r="B59" s="6" t="s">
        <v>169</v>
      </c>
      <c r="C59" s="6" t="s">
        <v>174</v>
      </c>
      <c r="D59" s="6" t="s">
        <v>175</v>
      </c>
      <c r="E59" s="6" t="s">
        <v>15</v>
      </c>
      <c r="F59" s="7" t="n">
        <v>20</v>
      </c>
      <c r="G59" s="8" t="n">
        <v>3</v>
      </c>
      <c r="H59" s="9" t="n">
        <f aca="false">IF(G59="","",F59*G59)</f>
        <v>60</v>
      </c>
      <c r="I59" s="6" t="s">
        <v>20</v>
      </c>
      <c r="J59" s="6"/>
    </row>
    <row r="60" customFormat="false" ht="15" hidden="false" customHeight="false" outlineLevel="0" collapsed="false">
      <c r="A60" s="6" t="n">
        <v>47</v>
      </c>
      <c r="B60" s="6" t="s">
        <v>169</v>
      </c>
      <c r="C60" s="6" t="s">
        <v>176</v>
      </c>
      <c r="D60" s="6" t="s">
        <v>177</v>
      </c>
      <c r="E60" s="6" t="s">
        <v>178</v>
      </c>
      <c r="F60" s="7" t="n">
        <v>20</v>
      </c>
      <c r="G60" s="8" t="n">
        <v>3</v>
      </c>
      <c r="H60" s="9" t="n">
        <f aca="false">IF(G60="","",F60*G60)</f>
        <v>60</v>
      </c>
      <c r="I60" s="6" t="s">
        <v>20</v>
      </c>
      <c r="J60" s="6" t="s">
        <v>179</v>
      </c>
    </row>
    <row r="61" customFormat="false" ht="15" hidden="false" customHeight="false" outlineLevel="0" collapsed="false">
      <c r="A61" s="6" t="n">
        <v>48</v>
      </c>
      <c r="B61" s="6" t="s">
        <v>169</v>
      </c>
      <c r="C61" s="6" t="s">
        <v>180</v>
      </c>
      <c r="D61" s="6" t="s">
        <v>181</v>
      </c>
      <c r="E61" s="6" t="s">
        <v>15</v>
      </c>
      <c r="F61" s="7" t="n">
        <v>2</v>
      </c>
      <c r="G61" s="8" t="n">
        <v>10</v>
      </c>
      <c r="H61" s="9" t="n">
        <f aca="false">IF(G61="","",F61*G61)</f>
        <v>20</v>
      </c>
      <c r="I61" s="6" t="s">
        <v>20</v>
      </c>
      <c r="J61" s="6" t="s">
        <v>182</v>
      </c>
    </row>
    <row r="62" customFormat="false" ht="23.85" hidden="false" customHeight="false" outlineLevel="0" collapsed="false">
      <c r="A62" s="6" t="n">
        <v>49</v>
      </c>
      <c r="B62" s="6" t="s">
        <v>169</v>
      </c>
      <c r="C62" s="6" t="s">
        <v>183</v>
      </c>
      <c r="D62" s="6" t="s">
        <v>184</v>
      </c>
      <c r="E62" s="6" t="s">
        <v>15</v>
      </c>
      <c r="F62" s="7" t="n">
        <v>2</v>
      </c>
      <c r="G62" s="8" t="n">
        <v>20</v>
      </c>
      <c r="H62" s="9" t="n">
        <f aca="false">IF(G62="","",F62*G62)</f>
        <v>40</v>
      </c>
      <c r="I62" s="6" t="s">
        <v>20</v>
      </c>
      <c r="J62" s="6" t="s">
        <v>185</v>
      </c>
    </row>
    <row r="63" customFormat="false" ht="23.85" hidden="false" customHeight="false" outlineLevel="0" collapsed="false">
      <c r="A63" s="6" t="n">
        <v>50</v>
      </c>
      <c r="B63" s="6" t="s">
        <v>169</v>
      </c>
      <c r="C63" s="6" t="s">
        <v>186</v>
      </c>
      <c r="D63" s="6" t="s">
        <v>187</v>
      </c>
      <c r="E63" s="6" t="s">
        <v>15</v>
      </c>
      <c r="F63" s="7" t="n">
        <v>1</v>
      </c>
      <c r="G63" s="8" t="n">
        <v>120</v>
      </c>
      <c r="H63" s="9" t="n">
        <f aca="false">IF(G63="","",F63*G63)</f>
        <v>120</v>
      </c>
      <c r="I63" s="6" t="s">
        <v>58</v>
      </c>
      <c r="J63" s="6"/>
    </row>
    <row r="64" customFormat="false" ht="23.85" hidden="false" customHeight="false" outlineLevel="0" collapsed="false">
      <c r="A64" s="6" t="n">
        <v>51</v>
      </c>
      <c r="B64" s="6" t="s">
        <v>169</v>
      </c>
      <c r="C64" s="6" t="s">
        <v>188</v>
      </c>
      <c r="D64" s="6" t="s">
        <v>189</v>
      </c>
      <c r="E64" s="6" t="s">
        <v>15</v>
      </c>
      <c r="F64" s="7" t="n">
        <v>2</v>
      </c>
      <c r="G64" s="8" t="n">
        <v>10</v>
      </c>
      <c r="H64" s="9" t="n">
        <f aca="false">IF(G64="","",F64*G64)</f>
        <v>20</v>
      </c>
      <c r="I64" s="6" t="s">
        <v>20</v>
      </c>
      <c r="J64" s="6" t="s">
        <v>190</v>
      </c>
    </row>
    <row r="65" customFormat="false" ht="15" hidden="false" customHeight="false" outlineLevel="0" collapsed="false">
      <c r="A65" s="6" t="n">
        <v>52</v>
      </c>
      <c r="B65" s="6" t="s">
        <v>169</v>
      </c>
      <c r="C65" s="6" t="s">
        <v>191</v>
      </c>
      <c r="D65" s="6" t="s">
        <v>192</v>
      </c>
      <c r="E65" s="6" t="s">
        <v>15</v>
      </c>
      <c r="F65" s="7" t="n">
        <v>5</v>
      </c>
      <c r="G65" s="8" t="n">
        <v>5</v>
      </c>
      <c r="H65" s="9" t="n">
        <f aca="false">IF(G65="","",F65*G65)</f>
        <v>25</v>
      </c>
      <c r="I65" s="6" t="s">
        <v>20</v>
      </c>
      <c r="J65" s="6"/>
    </row>
    <row r="66" customFormat="false" ht="15" hidden="false" customHeight="false" outlineLevel="0" collapsed="false">
      <c r="A66" s="6" t="n">
        <v>53</v>
      </c>
      <c r="B66" s="6" t="s">
        <v>169</v>
      </c>
      <c r="C66" s="6" t="s">
        <v>193</v>
      </c>
      <c r="D66" s="6" t="s">
        <v>194</v>
      </c>
      <c r="E66" s="6" t="s">
        <v>15</v>
      </c>
      <c r="F66" s="7" t="n">
        <v>2</v>
      </c>
      <c r="G66" s="8" t="n">
        <v>20</v>
      </c>
      <c r="H66" s="9" t="n">
        <f aca="false">IF(G66="","",F66*G66)</f>
        <v>40</v>
      </c>
      <c r="I66" s="6" t="s">
        <v>20</v>
      </c>
      <c r="J66" s="6" t="s">
        <v>195</v>
      </c>
    </row>
    <row r="67" customFormat="false" ht="15" hidden="false" customHeight="false" outlineLevel="0" collapsed="false">
      <c r="A67" s="6" t="n">
        <v>54</v>
      </c>
      <c r="B67" s="6" t="s">
        <v>169</v>
      </c>
      <c r="C67" s="6" t="s">
        <v>196</v>
      </c>
      <c r="D67" s="6" t="s">
        <v>197</v>
      </c>
      <c r="E67" s="6" t="s">
        <v>15</v>
      </c>
      <c r="F67" s="7" t="n">
        <v>2</v>
      </c>
      <c r="G67" s="8" t="n">
        <v>15</v>
      </c>
      <c r="H67" s="9" t="n">
        <f aca="false">IF(G67="","",F67*G67)</f>
        <v>30</v>
      </c>
      <c r="I67" s="6" t="s">
        <v>20</v>
      </c>
      <c r="J67" s="6" t="s">
        <v>198</v>
      </c>
    </row>
    <row r="68" customFormat="false" ht="15" hidden="false" customHeight="false" outlineLevel="0" collapsed="false">
      <c r="A68" s="4" t="s">
        <v>199</v>
      </c>
      <c r="B68" s="5"/>
      <c r="C68" s="5"/>
      <c r="D68" s="5"/>
      <c r="E68" s="5"/>
      <c r="F68" s="5"/>
      <c r="G68" s="5"/>
      <c r="H68" s="5"/>
      <c r="I68" s="5"/>
      <c r="J68" s="5"/>
    </row>
    <row r="69" customFormat="false" ht="23.85" hidden="false" customHeight="false" outlineLevel="0" collapsed="false">
      <c r="A69" s="6" t="n">
        <v>55</v>
      </c>
      <c r="B69" s="6" t="s">
        <v>199</v>
      </c>
      <c r="C69" s="6" t="s">
        <v>200</v>
      </c>
      <c r="D69" s="6" t="s">
        <v>201</v>
      </c>
      <c r="E69" s="6" t="s">
        <v>15</v>
      </c>
      <c r="F69" s="7" t="n">
        <v>2</v>
      </c>
      <c r="G69" s="8" t="n">
        <v>60</v>
      </c>
      <c r="H69" s="9" t="n">
        <f aca="false">IF(G69="","",F69*G69)</f>
        <v>120</v>
      </c>
      <c r="I69" s="6" t="s">
        <v>20</v>
      </c>
      <c r="J69" s="6" t="s">
        <v>202</v>
      </c>
    </row>
    <row r="70" customFormat="false" ht="15" hidden="false" customHeight="false" outlineLevel="0" collapsed="false">
      <c r="A70" s="4" t="s">
        <v>203</v>
      </c>
      <c r="B70" s="5"/>
      <c r="C70" s="5"/>
      <c r="D70" s="5"/>
      <c r="E70" s="5"/>
      <c r="F70" s="5"/>
      <c r="G70" s="5"/>
      <c r="H70" s="5"/>
      <c r="I70" s="5"/>
      <c r="J70" s="5"/>
    </row>
    <row r="71" customFormat="false" ht="23.85" hidden="false" customHeight="false" outlineLevel="0" collapsed="false">
      <c r="A71" s="6" t="n">
        <v>56</v>
      </c>
      <c r="B71" s="6" t="s">
        <v>203</v>
      </c>
      <c r="C71" s="6" t="s">
        <v>204</v>
      </c>
      <c r="D71" s="6" t="s">
        <v>205</v>
      </c>
      <c r="E71" s="6" t="s">
        <v>15</v>
      </c>
      <c r="F71" s="7" t="n">
        <v>1</v>
      </c>
      <c r="G71" s="8" t="n">
        <v>1500</v>
      </c>
      <c r="H71" s="9" t="n">
        <f aca="false">IF(G71="","",F71*G71)</f>
        <v>1500</v>
      </c>
      <c r="I71" s="6" t="s">
        <v>20</v>
      </c>
      <c r="J71" s="6" t="s">
        <v>206</v>
      </c>
    </row>
    <row r="73" customFormat="false" ht="15" hidden="false" customHeight="false" outlineLevel="0" collapsed="false">
      <c r="G73" s="10" t="s">
        <v>207</v>
      </c>
      <c r="H73" s="11" t="n">
        <f aca="false">SUM(H5:H71)</f>
        <v>8055</v>
      </c>
    </row>
    <row r="74" customFormat="false" ht="15" hidden="false" customHeight="false" outlineLevel="0" collapsed="false">
      <c r="G74" s="12" t="s">
        <v>208</v>
      </c>
      <c r="H74" s="13" t="n">
        <f aca="false">SUMIF(I5:I71,"бартер?",H5:H71)</f>
        <v>1970</v>
      </c>
    </row>
    <row r="75" customFormat="false" ht="15" hidden="false" customHeight="false" outlineLevel="0" collapsed="false">
      <c r="G75" s="12" t="s">
        <v>209</v>
      </c>
      <c r="H75" s="13" t="n">
        <f aca="false">SUMIF(I5:I71,"купить",H5:H71)</f>
        <v>6085</v>
      </c>
    </row>
    <row r="77" customFormat="false" ht="30" hidden="false" customHeight="true" outlineLevel="0" collapsed="false">
      <c r="A77" s="14" t="s">
        <v>210</v>
      </c>
      <c r="B77" s="14"/>
      <c r="C77" s="14"/>
      <c r="D77" s="14"/>
      <c r="E77" s="14"/>
      <c r="F77" s="14"/>
      <c r="G77" s="14"/>
      <c r="H77" s="14"/>
      <c r="I77" s="14"/>
      <c r="J77" s="14"/>
    </row>
  </sheetData>
  <autoFilter ref="A4:J71"/>
  <mergeCells count="1">
    <mergeCell ref="A77:J77"/>
  </mergeCells>
  <dataValidations count="1">
    <dataValidation allowBlank="true" errorStyle="stop" operator="between" showDropDown="false" showErrorMessage="false" showInputMessage="false" sqref="I5:I71" type="list">
      <formula1>"есть,купить,бартер?,бартер есть"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46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213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A6" s="6" t="n">
        <v>1</v>
      </c>
      <c r="B6" s="6" t="s">
        <v>213</v>
      </c>
      <c r="C6" s="6" t="s">
        <v>214</v>
      </c>
      <c r="D6" s="6" t="s">
        <v>215</v>
      </c>
      <c r="E6" s="6" t="s">
        <v>15</v>
      </c>
      <c r="F6" s="7" t="n">
        <v>2</v>
      </c>
      <c r="G6" s="8" t="n">
        <v>2164</v>
      </c>
      <c r="H6" s="9" t="n">
        <f aca="false">IF(G6="","",F6*G6)</f>
        <v>4328</v>
      </c>
      <c r="I6" s="6" t="s">
        <v>20</v>
      </c>
      <c r="J6" s="6" t="s">
        <v>216</v>
      </c>
    </row>
    <row r="7" customFormat="false" ht="23.85" hidden="false" customHeight="false" outlineLevel="0" collapsed="false">
      <c r="A7" s="6" t="n">
        <v>2</v>
      </c>
      <c r="B7" s="6" t="s">
        <v>213</v>
      </c>
      <c r="C7" s="6" t="s">
        <v>217</v>
      </c>
      <c r="D7" s="6" t="s">
        <v>218</v>
      </c>
      <c r="E7" s="6" t="s">
        <v>219</v>
      </c>
      <c r="F7" s="7" t="n">
        <v>1</v>
      </c>
      <c r="G7" s="8" t="n">
        <v>800</v>
      </c>
      <c r="H7" s="9" t="n">
        <f aca="false">IF(G7="","",F7*G7)</f>
        <v>800</v>
      </c>
      <c r="I7" s="6" t="s">
        <v>58</v>
      </c>
      <c r="J7" s="6" t="s">
        <v>220</v>
      </c>
    </row>
    <row r="8" customFormat="false" ht="23.85" hidden="false" customHeight="false" outlineLevel="0" collapsed="false">
      <c r="A8" s="6" t="n">
        <v>3</v>
      </c>
      <c r="B8" s="6" t="s">
        <v>213</v>
      </c>
      <c r="C8" s="6" t="s">
        <v>221</v>
      </c>
      <c r="D8" s="6" t="s">
        <v>222</v>
      </c>
      <c r="E8" s="6" t="s">
        <v>15</v>
      </c>
      <c r="F8" s="7" t="n">
        <v>10</v>
      </c>
      <c r="G8" s="8" t="n">
        <v>1</v>
      </c>
      <c r="H8" s="9" t="n">
        <f aca="false">IF(G8="","",F8*G8)</f>
        <v>10</v>
      </c>
      <c r="I8" s="6" t="s">
        <v>20</v>
      </c>
      <c r="J8" s="6" t="s">
        <v>223</v>
      </c>
    </row>
    <row r="9" customFormat="false" ht="23.85" hidden="false" customHeight="false" outlineLevel="0" collapsed="false">
      <c r="A9" s="6" t="n">
        <v>4</v>
      </c>
      <c r="B9" s="6" t="s">
        <v>213</v>
      </c>
      <c r="C9" s="6" t="s">
        <v>224</v>
      </c>
      <c r="D9" s="6" t="s">
        <v>225</v>
      </c>
      <c r="E9" s="6" t="s">
        <v>226</v>
      </c>
      <c r="F9" s="7" t="n">
        <v>1</v>
      </c>
      <c r="G9" s="8" t="n">
        <v>300</v>
      </c>
      <c r="H9" s="9" t="n">
        <f aca="false">IF(G9="","",F9*G9)</f>
        <v>300</v>
      </c>
      <c r="I9" s="6" t="s">
        <v>58</v>
      </c>
      <c r="J9" s="6" t="s">
        <v>227</v>
      </c>
    </row>
    <row r="10" customFormat="false" ht="15" hidden="false" customHeight="false" outlineLevel="0" collapsed="false">
      <c r="A10" s="4" t="s">
        <v>228</v>
      </c>
      <c r="B10" s="5"/>
      <c r="C10" s="5"/>
      <c r="D10" s="5"/>
      <c r="E10" s="5"/>
      <c r="F10" s="5"/>
      <c r="G10" s="5"/>
      <c r="H10" s="5"/>
      <c r="I10" s="5"/>
      <c r="J10" s="5"/>
    </row>
    <row r="11" customFormat="false" ht="23.85" hidden="false" customHeight="false" outlineLevel="0" collapsed="false">
      <c r="A11" s="6" t="n">
        <v>5</v>
      </c>
      <c r="B11" s="6" t="s">
        <v>228</v>
      </c>
      <c r="C11" s="6" t="s">
        <v>229</v>
      </c>
      <c r="D11" s="6" t="s">
        <v>230</v>
      </c>
      <c r="E11" s="6" t="s">
        <v>15</v>
      </c>
      <c r="F11" s="7" t="n">
        <v>8</v>
      </c>
      <c r="G11" s="8" t="n">
        <v>150</v>
      </c>
      <c r="H11" s="9" t="n">
        <f aca="false">IF(G11="","",F11*G11)</f>
        <v>1200</v>
      </c>
      <c r="I11" s="6" t="s">
        <v>58</v>
      </c>
      <c r="J11" s="6" t="s">
        <v>231</v>
      </c>
    </row>
    <row r="12" customFormat="false" ht="15" hidden="false" customHeight="false" outlineLevel="0" collapsed="false">
      <c r="A12" s="6" t="n">
        <v>6</v>
      </c>
      <c r="B12" s="6" t="s">
        <v>228</v>
      </c>
      <c r="C12" s="6" t="s">
        <v>232</v>
      </c>
      <c r="D12" s="6" t="s">
        <v>233</v>
      </c>
      <c r="E12" s="6" t="s">
        <v>15</v>
      </c>
      <c r="F12" s="7" t="n">
        <v>1</v>
      </c>
      <c r="G12" s="8" t="n">
        <v>30</v>
      </c>
      <c r="H12" s="9" t="n">
        <f aca="false">IF(G12="","",F12*G12)</f>
        <v>30</v>
      </c>
      <c r="I12" s="6" t="s">
        <v>20</v>
      </c>
      <c r="J12" s="6"/>
    </row>
    <row r="13" customFormat="false" ht="15" hidden="false" customHeight="false" outlineLevel="0" collapsed="false">
      <c r="A13" s="6" t="n">
        <v>7</v>
      </c>
      <c r="B13" s="6" t="s">
        <v>228</v>
      </c>
      <c r="C13" s="6" t="s">
        <v>234</v>
      </c>
      <c r="D13" s="6" t="s">
        <v>235</v>
      </c>
      <c r="E13" s="6" t="s">
        <v>236</v>
      </c>
      <c r="F13" s="7" t="n">
        <v>2</v>
      </c>
      <c r="G13" s="8" t="n">
        <v>400</v>
      </c>
      <c r="H13" s="9" t="n">
        <f aca="false">IF(G13="","",F13*G13)</f>
        <v>800</v>
      </c>
      <c r="I13" s="6" t="s">
        <v>58</v>
      </c>
      <c r="J13" s="6" t="s">
        <v>237</v>
      </c>
    </row>
    <row r="14" customFormat="false" ht="23.85" hidden="false" customHeight="false" outlineLevel="0" collapsed="false">
      <c r="A14" s="6" t="n">
        <v>8</v>
      </c>
      <c r="B14" s="6" t="s">
        <v>228</v>
      </c>
      <c r="C14" s="6" t="s">
        <v>238</v>
      </c>
      <c r="D14" s="6" t="s">
        <v>239</v>
      </c>
      <c r="E14" s="6" t="s">
        <v>236</v>
      </c>
      <c r="F14" s="7" t="n">
        <v>2</v>
      </c>
      <c r="G14" s="8" t="n">
        <v>600</v>
      </c>
      <c r="H14" s="9" t="n">
        <f aca="false">IF(G14="","",F14*G14)</f>
        <v>1200</v>
      </c>
      <c r="I14" s="6" t="s">
        <v>58</v>
      </c>
      <c r="J14" s="6" t="s">
        <v>240</v>
      </c>
    </row>
    <row r="15" customFormat="false" ht="15" hidden="false" customHeight="false" outlineLevel="0" collapsed="false">
      <c r="A15" s="6" t="n">
        <v>9</v>
      </c>
      <c r="B15" s="6" t="s">
        <v>228</v>
      </c>
      <c r="C15" s="6" t="s">
        <v>241</v>
      </c>
      <c r="D15" s="6" t="s">
        <v>242</v>
      </c>
      <c r="E15" s="6" t="s">
        <v>15</v>
      </c>
      <c r="F15" s="7" t="n">
        <v>2</v>
      </c>
      <c r="G15" s="8" t="n">
        <v>350</v>
      </c>
      <c r="H15" s="9" t="n">
        <f aca="false">IF(G15="","",F15*G15)</f>
        <v>700</v>
      </c>
      <c r="I15" s="6" t="s">
        <v>58</v>
      </c>
      <c r="J15" s="6"/>
    </row>
    <row r="16" customFormat="false" ht="15" hidden="false" customHeight="false" outlineLevel="0" collapsed="false">
      <c r="A16" s="6" t="n">
        <v>10</v>
      </c>
      <c r="B16" s="6" t="s">
        <v>228</v>
      </c>
      <c r="C16" s="6" t="s">
        <v>243</v>
      </c>
      <c r="D16" s="6" t="s">
        <v>187</v>
      </c>
      <c r="E16" s="6" t="s">
        <v>15</v>
      </c>
      <c r="F16" s="7" t="n">
        <v>1</v>
      </c>
      <c r="G16" s="8" t="n">
        <v>120</v>
      </c>
      <c r="H16" s="9" t="n">
        <f aca="false">IF(G16="","",F16*G16)</f>
        <v>120</v>
      </c>
      <c r="I16" s="6" t="s">
        <v>58</v>
      </c>
      <c r="J16" s="6"/>
    </row>
    <row r="17" customFormat="false" ht="15" hidden="false" customHeight="false" outlineLevel="0" collapsed="false">
      <c r="A17" s="4" t="s">
        <v>244</v>
      </c>
      <c r="B17" s="5"/>
      <c r="C17" s="5"/>
      <c r="D17" s="5"/>
      <c r="E17" s="5"/>
      <c r="F17" s="5"/>
      <c r="G17" s="5"/>
      <c r="H17" s="5"/>
      <c r="I17" s="5"/>
      <c r="J17" s="5"/>
    </row>
    <row r="18" customFormat="false" ht="15" hidden="false" customHeight="false" outlineLevel="0" collapsed="false">
      <c r="A18" s="6" t="n">
        <v>11</v>
      </c>
      <c r="B18" s="6" t="s">
        <v>244</v>
      </c>
      <c r="C18" s="6" t="s">
        <v>245</v>
      </c>
      <c r="D18" s="6" t="s">
        <v>246</v>
      </c>
      <c r="E18" s="6" t="s">
        <v>247</v>
      </c>
      <c r="F18" s="7" t="n">
        <v>1</v>
      </c>
      <c r="G18" s="8" t="n">
        <v>900</v>
      </c>
      <c r="H18" s="9" t="n">
        <f aca="false">IF(G18="","",F18*G18)</f>
        <v>900</v>
      </c>
      <c r="I18" s="6" t="s">
        <v>58</v>
      </c>
      <c r="J18" s="6"/>
    </row>
    <row r="19" customFormat="false" ht="23.85" hidden="false" customHeight="false" outlineLevel="0" collapsed="false">
      <c r="A19" s="6" t="n">
        <v>12</v>
      </c>
      <c r="B19" s="6" t="s">
        <v>244</v>
      </c>
      <c r="C19" s="6" t="s">
        <v>248</v>
      </c>
      <c r="D19" s="6" t="s">
        <v>249</v>
      </c>
      <c r="E19" s="6" t="s">
        <v>15</v>
      </c>
      <c r="F19" s="7" t="n">
        <v>1</v>
      </c>
      <c r="G19" s="8" t="n">
        <v>150</v>
      </c>
      <c r="H19" s="9" t="n">
        <f aca="false">IF(G19="","",F19*G19)</f>
        <v>150</v>
      </c>
      <c r="I19" s="6" t="s">
        <v>20</v>
      </c>
      <c r="J19" s="6"/>
    </row>
    <row r="20" customFormat="false" ht="23.85" hidden="false" customHeight="false" outlineLevel="0" collapsed="false">
      <c r="A20" s="6" t="n">
        <v>13</v>
      </c>
      <c r="B20" s="6" t="s">
        <v>244</v>
      </c>
      <c r="C20" s="6" t="s">
        <v>250</v>
      </c>
      <c r="D20" s="6" t="s">
        <v>251</v>
      </c>
      <c r="E20" s="6" t="s">
        <v>15</v>
      </c>
      <c r="F20" s="7" t="n">
        <v>1</v>
      </c>
      <c r="G20" s="8" t="n">
        <v>500</v>
      </c>
      <c r="H20" s="9" t="n">
        <f aca="false">IF(G20="","",F20*G20)</f>
        <v>500</v>
      </c>
      <c r="I20" s="6" t="s">
        <v>58</v>
      </c>
      <c r="J20" s="6" t="s">
        <v>252</v>
      </c>
    </row>
    <row r="21" customFormat="false" ht="15" hidden="false" customHeight="false" outlineLevel="0" collapsed="false">
      <c r="A21" s="4" t="s">
        <v>253</v>
      </c>
      <c r="B21" s="5"/>
      <c r="C21" s="5"/>
      <c r="D21" s="5"/>
      <c r="E21" s="5"/>
      <c r="F21" s="5"/>
      <c r="G21" s="5"/>
      <c r="H21" s="5"/>
      <c r="I21" s="5"/>
      <c r="J21" s="5"/>
    </row>
    <row r="22" customFormat="false" ht="23.85" hidden="false" customHeight="false" outlineLevel="0" collapsed="false">
      <c r="A22" s="6" t="n">
        <v>14</v>
      </c>
      <c r="B22" s="6" t="s">
        <v>253</v>
      </c>
      <c r="C22" s="6" t="s">
        <v>254</v>
      </c>
      <c r="D22" s="6" t="s">
        <v>255</v>
      </c>
      <c r="E22" s="6" t="s">
        <v>15</v>
      </c>
      <c r="F22" s="7" t="n">
        <v>2</v>
      </c>
      <c r="G22" s="8" t="n">
        <v>120</v>
      </c>
      <c r="H22" s="9" t="n">
        <f aca="false">IF(G22="","",F22*G22)</f>
        <v>240</v>
      </c>
      <c r="I22" s="6" t="s">
        <v>58</v>
      </c>
      <c r="J22" s="6" t="s">
        <v>256</v>
      </c>
    </row>
    <row r="23" customFormat="false" ht="23.85" hidden="false" customHeight="false" outlineLevel="0" collapsed="false">
      <c r="A23" s="6" t="n">
        <v>15</v>
      </c>
      <c r="B23" s="6" t="s">
        <v>253</v>
      </c>
      <c r="C23" s="6" t="s">
        <v>257</v>
      </c>
      <c r="D23" s="6" t="s">
        <v>258</v>
      </c>
      <c r="E23" s="6" t="s">
        <v>15</v>
      </c>
      <c r="F23" s="7" t="n">
        <v>3</v>
      </c>
      <c r="G23" s="8" t="n">
        <v>60</v>
      </c>
      <c r="H23" s="9" t="n">
        <f aca="false">IF(G23="","",F23*G23)</f>
        <v>180</v>
      </c>
      <c r="I23" s="6" t="s">
        <v>20</v>
      </c>
      <c r="J23" s="6"/>
    </row>
    <row r="24" customFormat="false" ht="23.85" hidden="false" customHeight="false" outlineLevel="0" collapsed="false">
      <c r="A24" s="6" t="n">
        <v>16</v>
      </c>
      <c r="B24" s="6" t="s">
        <v>253</v>
      </c>
      <c r="C24" s="6" t="s">
        <v>259</v>
      </c>
      <c r="D24" s="6" t="s">
        <v>131</v>
      </c>
      <c r="E24" s="6" t="s">
        <v>132</v>
      </c>
      <c r="F24" s="7" t="n">
        <v>1</v>
      </c>
      <c r="G24" s="8" t="n">
        <v>25</v>
      </c>
      <c r="H24" s="9" t="n">
        <f aca="false">IF(G24="","",F24*G24)</f>
        <v>25</v>
      </c>
      <c r="I24" s="6" t="s">
        <v>20</v>
      </c>
      <c r="J24" s="6"/>
    </row>
    <row r="25" customFormat="false" ht="23.85" hidden="false" customHeight="false" outlineLevel="0" collapsed="false">
      <c r="A25" s="6" t="n">
        <v>17</v>
      </c>
      <c r="B25" s="6" t="s">
        <v>253</v>
      </c>
      <c r="C25" s="6" t="s">
        <v>260</v>
      </c>
      <c r="D25" s="6" t="s">
        <v>261</v>
      </c>
      <c r="E25" s="6" t="s">
        <v>15</v>
      </c>
      <c r="F25" s="7" t="n">
        <v>1</v>
      </c>
      <c r="G25" s="8" t="n">
        <v>10</v>
      </c>
      <c r="H25" s="9" t="n">
        <f aca="false">IF(G25="","",F25*G25)</f>
        <v>10</v>
      </c>
      <c r="I25" s="6" t="s">
        <v>20</v>
      </c>
      <c r="J25" s="6"/>
    </row>
    <row r="26" customFormat="false" ht="23.85" hidden="false" customHeight="false" outlineLevel="0" collapsed="false">
      <c r="A26" s="6" t="n">
        <v>18</v>
      </c>
      <c r="B26" s="6" t="s">
        <v>253</v>
      </c>
      <c r="C26" s="6" t="s">
        <v>262</v>
      </c>
      <c r="D26" s="6" t="s">
        <v>263</v>
      </c>
      <c r="E26" s="6" t="s">
        <v>15</v>
      </c>
      <c r="F26" s="7" t="n">
        <v>2</v>
      </c>
      <c r="G26" s="8" t="n">
        <v>100</v>
      </c>
      <c r="H26" s="9" t="n">
        <f aca="false">IF(G26="","",F26*G26)</f>
        <v>200</v>
      </c>
      <c r="I26" s="6" t="s">
        <v>20</v>
      </c>
      <c r="J26" s="6" t="s">
        <v>264</v>
      </c>
    </row>
    <row r="27" customFormat="false" ht="23.85" hidden="false" customHeight="false" outlineLevel="0" collapsed="false">
      <c r="A27" s="6" t="n">
        <v>19</v>
      </c>
      <c r="B27" s="6" t="s">
        <v>253</v>
      </c>
      <c r="C27" s="6" t="s">
        <v>265</v>
      </c>
      <c r="D27" s="6" t="s">
        <v>266</v>
      </c>
      <c r="E27" s="6" t="s">
        <v>15</v>
      </c>
      <c r="F27" s="7" t="n">
        <v>2</v>
      </c>
      <c r="G27" s="8" t="n">
        <v>40</v>
      </c>
      <c r="H27" s="9" t="n">
        <f aca="false">IF(G27="","",F27*G27)</f>
        <v>80</v>
      </c>
      <c r="I27" s="6" t="s">
        <v>20</v>
      </c>
      <c r="J27" s="6"/>
    </row>
    <row r="28" customFormat="false" ht="23.85" hidden="false" customHeight="false" outlineLevel="0" collapsed="false">
      <c r="A28" s="6" t="n">
        <v>20</v>
      </c>
      <c r="B28" s="6" t="s">
        <v>253</v>
      </c>
      <c r="C28" s="6" t="s">
        <v>267</v>
      </c>
      <c r="D28" s="6" t="s">
        <v>268</v>
      </c>
      <c r="E28" s="6" t="s">
        <v>15</v>
      </c>
      <c r="F28" s="7" t="n">
        <v>1</v>
      </c>
      <c r="G28" s="8" t="n">
        <v>50</v>
      </c>
      <c r="H28" s="9" t="n">
        <f aca="false">IF(G28="","",F28*G28)</f>
        <v>50</v>
      </c>
      <c r="I28" s="6" t="s">
        <v>20</v>
      </c>
      <c r="J28" s="6"/>
    </row>
    <row r="29" customFormat="false" ht="23.85" hidden="false" customHeight="false" outlineLevel="0" collapsed="false">
      <c r="A29" s="6" t="n">
        <v>21</v>
      </c>
      <c r="B29" s="6" t="s">
        <v>253</v>
      </c>
      <c r="C29" s="6" t="s">
        <v>269</v>
      </c>
      <c r="D29" s="6" t="s">
        <v>15</v>
      </c>
      <c r="E29" s="6" t="s">
        <v>15</v>
      </c>
      <c r="F29" s="7" t="n">
        <v>1</v>
      </c>
      <c r="G29" s="8" t="n">
        <v>700</v>
      </c>
      <c r="H29" s="9" t="n">
        <f aca="false">IF(G29="","",F29*G29)</f>
        <v>700</v>
      </c>
      <c r="I29" s="6" t="s">
        <v>20</v>
      </c>
      <c r="J29" s="6"/>
    </row>
    <row r="31" customFormat="false" ht="15" hidden="false" customHeight="false" outlineLevel="0" collapsed="false">
      <c r="G31" s="10" t="s">
        <v>207</v>
      </c>
      <c r="H31" s="11" t="n">
        <f aca="false">SUM(H5:H29)</f>
        <v>12523</v>
      </c>
    </row>
    <row r="32" customFormat="false" ht="15" hidden="false" customHeight="false" outlineLevel="0" collapsed="false">
      <c r="G32" s="12" t="s">
        <v>208</v>
      </c>
      <c r="H32" s="13" t="n">
        <f aca="false">SUMIF(I5:I29,"бартер?",H5:H29)</f>
        <v>6760</v>
      </c>
    </row>
    <row r="33" customFormat="false" ht="15" hidden="false" customHeight="false" outlineLevel="0" collapsed="false">
      <c r="G33" s="12" t="s">
        <v>209</v>
      </c>
      <c r="H33" s="13" t="n">
        <f aca="false">SUMIF(I5:I29,"купить",H5:H29)</f>
        <v>5763</v>
      </c>
    </row>
    <row r="35" customFormat="false" ht="30" hidden="false" customHeight="true" outlineLevel="0" collapsed="false">
      <c r="A35" s="14" t="s">
        <v>210</v>
      </c>
      <c r="B35" s="14"/>
      <c r="C35" s="14"/>
      <c r="D35" s="14"/>
      <c r="E35" s="14"/>
      <c r="F35" s="14"/>
      <c r="G35" s="14"/>
      <c r="H35" s="14"/>
      <c r="I35" s="14"/>
      <c r="J35" s="14"/>
    </row>
  </sheetData>
  <autoFilter ref="A4:J29"/>
  <mergeCells count="1">
    <mergeCell ref="A35:J35"/>
  </mergeCells>
  <dataValidations count="1">
    <dataValidation allowBlank="true" errorStyle="stop" operator="between" showDropDown="false" showErrorMessage="false" showInputMessage="false" sqref="I5:I29" type="list">
      <formula1>"есть,купить,бартер?,бартер есть"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270</v>
      </c>
    </row>
    <row r="2" customFormat="false" ht="15" hidden="false" customHeight="false" outlineLevel="0" collapsed="false">
      <c r="A2" s="2" t="s">
        <v>271</v>
      </c>
    </row>
    <row r="4" customFormat="false" ht="15" hidden="false" customHeight="false" outlineLevel="0" collapsed="false">
      <c r="A4" s="3" t="s">
        <v>272</v>
      </c>
      <c r="B4" s="3" t="s">
        <v>273</v>
      </c>
      <c r="C4" s="3" t="s">
        <v>274</v>
      </c>
      <c r="D4" s="3" t="s">
        <v>275</v>
      </c>
      <c r="E4" s="3" t="s">
        <v>276</v>
      </c>
    </row>
    <row r="5" customFormat="false" ht="15" hidden="false" customHeight="false" outlineLevel="0" collapsed="false">
      <c r="A5" s="6" t="s">
        <v>277</v>
      </c>
      <c r="B5" s="7" t="n">
        <v>20</v>
      </c>
      <c r="C5" s="6" t="s">
        <v>278</v>
      </c>
      <c r="D5" s="6" t="s">
        <v>279</v>
      </c>
      <c r="E5" s="6" t="s">
        <v>280</v>
      </c>
    </row>
    <row r="6" customFormat="false" ht="15" hidden="false" customHeight="false" outlineLevel="0" collapsed="false">
      <c r="A6" s="6" t="s">
        <v>281</v>
      </c>
      <c r="B6" s="7" t="n">
        <v>1</v>
      </c>
      <c r="C6" s="6" t="s">
        <v>282</v>
      </c>
      <c r="D6" s="6"/>
      <c r="E6" s="6" t="s">
        <v>283</v>
      </c>
    </row>
    <row r="7" customFormat="false" ht="15" hidden="false" customHeight="false" outlineLevel="0" collapsed="false">
      <c r="A7" s="6" t="s">
        <v>284</v>
      </c>
      <c r="B7" s="7" t="n">
        <v>3</v>
      </c>
      <c r="C7" s="6" t="s">
        <v>282</v>
      </c>
      <c r="D7" s="6"/>
      <c r="E7" s="6" t="s">
        <v>285</v>
      </c>
    </row>
    <row r="8" customFormat="false" ht="15" hidden="false" customHeight="false" outlineLevel="0" collapsed="false">
      <c r="A8" s="6" t="s">
        <v>286</v>
      </c>
      <c r="B8" s="7" t="n">
        <v>3</v>
      </c>
      <c r="C8" s="6" t="s">
        <v>282</v>
      </c>
      <c r="D8" s="6"/>
      <c r="E8" s="6" t="s">
        <v>287</v>
      </c>
    </row>
    <row r="9" customFormat="false" ht="35.05" hidden="false" customHeight="false" outlineLevel="0" collapsed="false">
      <c r="A9" s="6" t="s">
        <v>288</v>
      </c>
      <c r="B9" s="7" t="n">
        <v>8</v>
      </c>
      <c r="C9" s="6" t="s">
        <v>289</v>
      </c>
      <c r="D9" s="6" t="s">
        <v>290</v>
      </c>
      <c r="E9" s="6" t="s">
        <v>291</v>
      </c>
    </row>
    <row r="10" customFormat="false" ht="15" hidden="false" customHeight="false" outlineLevel="0" collapsed="false">
      <c r="A10" s="6" t="s">
        <v>292</v>
      </c>
      <c r="B10" s="7" t="n">
        <v>3</v>
      </c>
      <c r="C10" s="6" t="s">
        <v>289</v>
      </c>
      <c r="D10" s="6"/>
      <c r="E10" s="6" t="s">
        <v>293</v>
      </c>
    </row>
    <row r="11" customFormat="false" ht="15" hidden="false" customHeight="false" outlineLevel="0" collapsed="false">
      <c r="A11" s="6" t="s">
        <v>294</v>
      </c>
      <c r="B11" s="7" t="n">
        <v>11</v>
      </c>
      <c r="C11" s="6" t="s">
        <v>289</v>
      </c>
      <c r="D11" s="6" t="s">
        <v>295</v>
      </c>
      <c r="E11" s="6" t="s">
        <v>296</v>
      </c>
    </row>
    <row r="12" customFormat="false" ht="23.85" hidden="false" customHeight="false" outlineLevel="0" collapsed="false">
      <c r="A12" s="6" t="s">
        <v>297</v>
      </c>
      <c r="B12" s="7" t="n">
        <v>14</v>
      </c>
      <c r="C12" s="6" t="s">
        <v>289</v>
      </c>
      <c r="D12" s="6" t="s">
        <v>298</v>
      </c>
      <c r="E12" s="6" t="s">
        <v>299</v>
      </c>
    </row>
    <row r="13" customFormat="false" ht="15" hidden="false" customHeight="false" outlineLevel="0" collapsed="false">
      <c r="A13" s="6" t="s">
        <v>300</v>
      </c>
      <c r="B13" s="7" t="n">
        <v>20</v>
      </c>
      <c r="C13" s="6" t="s">
        <v>301</v>
      </c>
      <c r="D13" s="6"/>
      <c r="E13" s="6" t="s">
        <v>302</v>
      </c>
    </row>
    <row r="14" customFormat="false" ht="15" hidden="false" customHeight="false" outlineLevel="0" collapsed="false">
      <c r="A14" s="6" t="s">
        <v>303</v>
      </c>
      <c r="B14" s="7" t="n">
        <v>8</v>
      </c>
      <c r="C14" s="6" t="s">
        <v>301</v>
      </c>
      <c r="D14" s="6"/>
      <c r="E14" s="6" t="s">
        <v>304</v>
      </c>
    </row>
    <row r="15" customFormat="false" ht="23.85" hidden="false" customHeight="false" outlineLevel="0" collapsed="false">
      <c r="A15" s="6" t="s">
        <v>305</v>
      </c>
      <c r="B15" s="7" t="n">
        <v>3</v>
      </c>
      <c r="C15" s="6" t="s">
        <v>289</v>
      </c>
      <c r="D15" s="6"/>
      <c r="E15" s="6" t="s">
        <v>306</v>
      </c>
    </row>
    <row r="16" customFormat="false" ht="15" hidden="false" customHeight="false" outlineLevel="0" collapsed="false">
      <c r="A16" s="6" t="s">
        <v>307</v>
      </c>
      <c r="B16" s="7" t="n">
        <v>5</v>
      </c>
      <c r="C16" s="6" t="s">
        <v>282</v>
      </c>
      <c r="D16" s="6"/>
      <c r="E16" s="6"/>
    </row>
    <row r="17" customFormat="false" ht="23.85" hidden="false" customHeight="false" outlineLevel="0" collapsed="false">
      <c r="A17" s="6" t="s">
        <v>308</v>
      </c>
      <c r="B17" s="7" t="n">
        <v>3</v>
      </c>
      <c r="C17" s="6" t="s">
        <v>282</v>
      </c>
      <c r="D17" s="6"/>
      <c r="E17" s="6"/>
    </row>
    <row r="18" customFormat="false" ht="23.85" hidden="false" customHeight="false" outlineLevel="0" collapsed="false">
      <c r="A18" s="6" t="s">
        <v>309</v>
      </c>
      <c r="B18" s="7" t="n">
        <v>20</v>
      </c>
      <c r="C18" s="6" t="s">
        <v>282</v>
      </c>
      <c r="D18" s="6" t="s">
        <v>310</v>
      </c>
      <c r="E18" s="6" t="s">
        <v>311</v>
      </c>
    </row>
    <row r="19" customFormat="false" ht="15" hidden="false" customHeight="false" outlineLevel="0" collapsed="false">
      <c r="A19" s="6" t="s">
        <v>312</v>
      </c>
      <c r="B19" s="7" t="n">
        <v>15</v>
      </c>
      <c r="C19" s="6" t="s">
        <v>313</v>
      </c>
      <c r="D19" s="6"/>
      <c r="E19" s="6"/>
    </row>
    <row r="20" customFormat="false" ht="15" hidden="false" customHeight="false" outlineLevel="0" collapsed="false">
      <c r="A20" s="10" t="s">
        <v>314</v>
      </c>
      <c r="B20" s="10" t="n">
        <f aca="false">SUM(B5:B19)</f>
        <v>137</v>
      </c>
    </row>
    <row r="21" customFormat="false" ht="15" hidden="false" customHeight="false" outlineLevel="0" collapsed="false">
      <c r="A21" s="12" t="s">
        <v>315</v>
      </c>
      <c r="B21" s="15" t="n">
        <v>149</v>
      </c>
    </row>
    <row r="22" customFormat="false" ht="15" hidden="false" customHeight="false" outlineLevel="0" collapsed="false">
      <c r="A22" s="10" t="s">
        <v>316</v>
      </c>
      <c r="B22" s="10" t="n">
        <f aca="false">B21-B20</f>
        <v>12</v>
      </c>
    </row>
    <row r="24" customFormat="false" ht="15" hidden="false" customHeight="false" outlineLevel="0" collapsed="false">
      <c r="A24" s="16" t="s">
        <v>317</v>
      </c>
    </row>
    <row r="25" customFormat="false" ht="15" hidden="false" customHeight="false" outlineLevel="0" collapsed="false">
      <c r="A25" s="17" t="s">
        <v>318</v>
      </c>
      <c r="B25" s="17" t="s">
        <v>319</v>
      </c>
      <c r="C25" s="17" t="s">
        <v>320</v>
      </c>
      <c r="D25" s="17" t="s">
        <v>321</v>
      </c>
      <c r="E25" s="17" t="s">
        <v>322</v>
      </c>
    </row>
    <row r="26" customFormat="false" ht="23.85" hidden="false" customHeight="false" outlineLevel="0" collapsed="false">
      <c r="A26" s="6" t="s">
        <v>282</v>
      </c>
      <c r="B26" s="6" t="n">
        <v>50</v>
      </c>
      <c r="C26" s="6" t="n">
        <v>24</v>
      </c>
      <c r="D26" s="6" t="s">
        <v>323</v>
      </c>
      <c r="E26" s="6" t="s">
        <v>324</v>
      </c>
    </row>
    <row r="27" customFormat="false" ht="23.85" hidden="false" customHeight="false" outlineLevel="0" collapsed="false">
      <c r="A27" s="6" t="s">
        <v>289</v>
      </c>
      <c r="B27" s="6" t="n">
        <v>43</v>
      </c>
      <c r="C27" s="6" t="n">
        <v>19</v>
      </c>
      <c r="D27" s="6" t="s">
        <v>325</v>
      </c>
      <c r="E27" s="6" t="s">
        <v>326</v>
      </c>
    </row>
    <row r="28" customFormat="false" ht="15" hidden="false" customHeight="false" outlineLevel="0" collapsed="false">
      <c r="A28" s="6" t="s">
        <v>327</v>
      </c>
      <c r="B28" s="6" t="n">
        <v>26</v>
      </c>
      <c r="C28" s="6" t="n">
        <v>9</v>
      </c>
      <c r="D28" s="6" t="s">
        <v>323</v>
      </c>
      <c r="E28" s="6" t="s">
        <v>328</v>
      </c>
    </row>
    <row r="29" customFormat="false" ht="15" hidden="false" customHeight="false" outlineLevel="0" collapsed="false">
      <c r="A29" s="6" t="s">
        <v>329</v>
      </c>
      <c r="B29" s="6" t="n">
        <v>20</v>
      </c>
      <c r="C29" s="6" t="n">
        <v>5</v>
      </c>
      <c r="D29" s="6" t="s">
        <v>330</v>
      </c>
      <c r="E29" s="6" t="s">
        <v>331</v>
      </c>
    </row>
    <row r="30" customFormat="false" ht="15" hidden="false" customHeight="false" outlineLevel="0" collapsed="false">
      <c r="A30" s="6" t="s">
        <v>332</v>
      </c>
      <c r="B30" s="6" t="n">
        <v>10</v>
      </c>
      <c r="C30" s="6" t="n">
        <v>0</v>
      </c>
      <c r="D30" s="6" t="s">
        <v>333</v>
      </c>
      <c r="E30" s="6" t="s">
        <v>334</v>
      </c>
    </row>
    <row r="31" customFormat="false" ht="15" hidden="false" customHeight="false" outlineLevel="0" collapsed="false">
      <c r="A31" s="10" t="s">
        <v>335</v>
      </c>
      <c r="B31" s="10" t="n">
        <f aca="false">SUM(B26:B30)</f>
        <v>149</v>
      </c>
    </row>
    <row r="33" customFormat="false" ht="30" hidden="false" customHeight="true" outlineLevel="0" collapsed="false">
      <c r="A33" s="18" t="s">
        <v>336</v>
      </c>
      <c r="B33" s="18"/>
      <c r="C33" s="18"/>
      <c r="D33" s="18"/>
      <c r="E33" s="18"/>
    </row>
  </sheetData>
  <mergeCells count="1">
    <mergeCell ref="A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337</v>
      </c>
    </row>
    <row r="2" customFormat="false" ht="15" hidden="false" customHeight="false" outlineLevel="0" collapsed="false">
      <c r="A2" s="2" t="s">
        <v>338</v>
      </c>
    </row>
    <row r="4" customFormat="false" ht="15" hidden="false" customHeight="false" outlineLevel="0" collapsed="false">
      <c r="A4" s="3" t="s">
        <v>339</v>
      </c>
      <c r="B4" s="3" t="s">
        <v>272</v>
      </c>
      <c r="C4" s="3" t="s">
        <v>340</v>
      </c>
    </row>
    <row r="5" customFormat="false" ht="15" hidden="false" customHeight="false" outlineLevel="0" collapsed="false">
      <c r="A5" s="6" t="s">
        <v>341</v>
      </c>
      <c r="B5" s="6" t="s">
        <v>342</v>
      </c>
      <c r="C5" s="6" t="s">
        <v>343</v>
      </c>
    </row>
    <row r="6" customFormat="false" ht="15" hidden="false" customHeight="false" outlineLevel="0" collapsed="false">
      <c r="A6" s="6" t="s">
        <v>344</v>
      </c>
      <c r="B6" s="6" t="s">
        <v>345</v>
      </c>
      <c r="C6" s="6" t="s">
        <v>346</v>
      </c>
    </row>
    <row r="7" customFormat="false" ht="15" hidden="false" customHeight="false" outlineLevel="0" collapsed="false">
      <c r="A7" s="6" t="s">
        <v>347</v>
      </c>
      <c r="B7" s="6" t="s">
        <v>348</v>
      </c>
      <c r="C7" s="6" t="s">
        <v>349</v>
      </c>
    </row>
    <row r="8" customFormat="false" ht="15" hidden="false" customHeight="false" outlineLevel="0" collapsed="false">
      <c r="A8" s="6" t="s">
        <v>350</v>
      </c>
      <c r="B8" s="6" t="s">
        <v>351</v>
      </c>
      <c r="C8" s="6" t="s">
        <v>352</v>
      </c>
    </row>
    <row r="9" customFormat="false" ht="15" hidden="false" customHeight="false" outlineLevel="0" collapsed="false">
      <c r="A9" s="6" t="s">
        <v>353</v>
      </c>
      <c r="B9" s="6" t="s">
        <v>354</v>
      </c>
      <c r="C9" s="6" t="s">
        <v>355</v>
      </c>
    </row>
    <row r="10" customFormat="false" ht="15" hidden="false" customHeight="false" outlineLevel="0" collapsed="false">
      <c r="A10" s="6" t="s">
        <v>356</v>
      </c>
      <c r="B10" s="6" t="s">
        <v>357</v>
      </c>
      <c r="C10" s="6" t="s">
        <v>358</v>
      </c>
    </row>
    <row r="11" customFormat="false" ht="23.85" hidden="false" customHeight="false" outlineLevel="0" collapsed="false">
      <c r="A11" s="6" t="s">
        <v>359</v>
      </c>
      <c r="B11" s="6" t="s">
        <v>360</v>
      </c>
      <c r="C11" s="6" t="s">
        <v>361</v>
      </c>
    </row>
    <row r="12" customFormat="false" ht="23.85" hidden="false" customHeight="false" outlineLevel="0" collapsed="false">
      <c r="A12" s="6" t="s">
        <v>362</v>
      </c>
      <c r="B12" s="6" t="s">
        <v>363</v>
      </c>
      <c r="C12" s="6" t="s">
        <v>364</v>
      </c>
    </row>
    <row r="13" customFormat="false" ht="15" hidden="false" customHeight="false" outlineLevel="0" collapsed="false">
      <c r="A13" s="6" t="s">
        <v>365</v>
      </c>
      <c r="B13" s="6" t="s">
        <v>366</v>
      </c>
      <c r="C13" s="6"/>
    </row>
    <row r="14" customFormat="false" ht="15" hidden="false" customHeight="false" outlineLevel="0" collapsed="false">
      <c r="A14" s="6" t="s">
        <v>367</v>
      </c>
      <c r="B14" s="6" t="s">
        <v>368</v>
      </c>
      <c r="C14" s="6" t="s">
        <v>369</v>
      </c>
    </row>
    <row r="15" customFormat="false" ht="15" hidden="false" customHeight="false" outlineLevel="0" collapsed="false">
      <c r="A15" s="6" t="s">
        <v>370</v>
      </c>
      <c r="B15" s="6" t="s">
        <v>371</v>
      </c>
      <c r="C15" s="6" t="s">
        <v>372</v>
      </c>
    </row>
    <row r="16" customFormat="false" ht="35.05" hidden="false" customHeight="false" outlineLevel="0" collapsed="false">
      <c r="A16" s="6" t="s">
        <v>373</v>
      </c>
      <c r="B16" s="6" t="s">
        <v>374</v>
      </c>
      <c r="C16" s="6" t="s">
        <v>375</v>
      </c>
    </row>
    <row r="17" customFormat="false" ht="15" hidden="false" customHeight="false" outlineLevel="0" collapsed="false">
      <c r="A17" s="6" t="s">
        <v>376</v>
      </c>
      <c r="B17" s="6" t="s">
        <v>377</v>
      </c>
      <c r="C17" s="6" t="s">
        <v>378</v>
      </c>
    </row>
    <row r="18" customFormat="false" ht="15" hidden="false" customHeight="false" outlineLevel="0" collapsed="false">
      <c r="A18" s="6" t="s">
        <v>379</v>
      </c>
      <c r="B18" s="6" t="s">
        <v>380</v>
      </c>
      <c r="C18" s="6" t="s">
        <v>381</v>
      </c>
    </row>
    <row r="19" customFormat="false" ht="15" hidden="false" customHeight="false" outlineLevel="0" collapsed="false">
      <c r="A19" s="6" t="s">
        <v>382</v>
      </c>
      <c r="B19" s="6" t="s">
        <v>383</v>
      </c>
      <c r="C19" s="6" t="s">
        <v>384</v>
      </c>
    </row>
    <row r="20" customFormat="false" ht="15" hidden="false" customHeight="false" outlineLevel="0" collapsed="false">
      <c r="A20" s="6" t="s">
        <v>385</v>
      </c>
      <c r="B20" s="6" t="s">
        <v>386</v>
      </c>
      <c r="C20" s="6" t="s">
        <v>387</v>
      </c>
    </row>
    <row r="22" customFormat="false" ht="27.75" hidden="false" customHeight="true" outlineLevel="0" collapsed="false">
      <c r="A22" s="14" t="s">
        <v>388</v>
      </c>
      <c r="B22" s="14"/>
      <c r="C22" s="14"/>
    </row>
  </sheetData>
  <mergeCells count="1"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389</v>
      </c>
    </row>
    <row r="2" customFormat="false" ht="15" hidden="false" customHeight="false" outlineLevel="0" collapsed="false">
      <c r="A2" s="2" t="s">
        <v>390</v>
      </c>
    </row>
    <row r="4" customFormat="false" ht="15" hidden="false" customHeight="false" outlineLevel="0" collapsed="false">
      <c r="A4" s="12" t="s">
        <v>391</v>
      </c>
      <c r="B4" s="15" t="n">
        <v>2800</v>
      </c>
    </row>
    <row r="5" customFormat="false" ht="15" hidden="false" customHeight="false" outlineLevel="0" collapsed="false">
      <c r="A5" s="12" t="s">
        <v>392</v>
      </c>
      <c r="B5" s="15" t="n">
        <v>3.7</v>
      </c>
    </row>
    <row r="6" customFormat="false" ht="15" hidden="false" customHeight="false" outlineLevel="0" collapsed="false">
      <c r="A6" s="12" t="s">
        <v>393</v>
      </c>
      <c r="B6" s="19" t="n">
        <v>0.9</v>
      </c>
    </row>
    <row r="7" customFormat="false" ht="15" hidden="false" customHeight="false" outlineLevel="0" collapsed="false">
      <c r="A7" s="12" t="s">
        <v>394</v>
      </c>
      <c r="B7" s="19" t="n">
        <v>0.88</v>
      </c>
    </row>
    <row r="8" customFormat="false" ht="15" hidden="false" customHeight="false" outlineLevel="0" collapsed="false">
      <c r="A8" s="12" t="s">
        <v>395</v>
      </c>
      <c r="B8" s="20" t="n">
        <f aca="false">B4/1000*B5*B6</f>
        <v>9.324</v>
      </c>
    </row>
    <row r="10" customFormat="false" ht="23.85" hidden="false" customHeight="false" outlineLevel="0" collapsed="false">
      <c r="A10" s="21" t="s">
        <v>396</v>
      </c>
      <c r="B10" s="21" t="s">
        <v>397</v>
      </c>
      <c r="C10" s="21" t="s">
        <v>169</v>
      </c>
      <c r="D10" s="21" t="s">
        <v>398</v>
      </c>
      <c r="E10" s="21" t="s">
        <v>399</v>
      </c>
      <c r="F10" s="21" t="s">
        <v>400</v>
      </c>
    </row>
    <row r="11" customFormat="false" ht="15" hidden="false" customHeight="false" outlineLevel="0" collapsed="false">
      <c r="A11" s="22" t="s">
        <v>401</v>
      </c>
      <c r="B11" s="23" t="n">
        <v>0.2</v>
      </c>
      <c r="C11" s="23" t="n">
        <v>0.2</v>
      </c>
      <c r="D11" s="23" t="n">
        <v>0.2</v>
      </c>
      <c r="E11" s="23" t="n">
        <v>0.2</v>
      </c>
      <c r="F11" s="23" t="n">
        <v>0.2</v>
      </c>
    </row>
    <row r="12" customFormat="false" ht="15" hidden="false" customHeight="false" outlineLevel="0" collapsed="false">
      <c r="A12" s="22" t="s">
        <v>402</v>
      </c>
      <c r="B12" s="23" t="n">
        <v>0.5</v>
      </c>
      <c r="C12" s="23" t="n">
        <v>0.8</v>
      </c>
      <c r="D12" s="23" t="n">
        <v>0.8</v>
      </c>
      <c r="E12" s="23" t="n">
        <v>0.9</v>
      </c>
      <c r="F12" s="23" t="n">
        <v>0.5</v>
      </c>
    </row>
    <row r="13" customFormat="false" ht="15" hidden="false" customHeight="false" outlineLevel="0" collapsed="false">
      <c r="A13" s="22" t="s">
        <v>403</v>
      </c>
      <c r="B13" s="23" t="n">
        <v>0.15</v>
      </c>
      <c r="C13" s="23" t="n">
        <v>0.15</v>
      </c>
      <c r="D13" s="23" t="n">
        <v>0.3</v>
      </c>
      <c r="E13" s="23" t="n">
        <v>0.15</v>
      </c>
      <c r="F13" s="23" t="n">
        <v>0.15</v>
      </c>
    </row>
    <row r="14" customFormat="false" ht="15" hidden="false" customHeight="false" outlineLevel="0" collapsed="false">
      <c r="A14" s="22" t="s">
        <v>404</v>
      </c>
      <c r="B14" s="23" t="n">
        <v>0.03</v>
      </c>
      <c r="C14" s="23" t="n">
        <v>0.03</v>
      </c>
      <c r="D14" s="23" t="n">
        <v>0.03</v>
      </c>
      <c r="E14" s="23" t="n">
        <v>0.03</v>
      </c>
      <c r="F14" s="23" t="n">
        <v>0.03</v>
      </c>
    </row>
    <row r="15" customFormat="false" ht="15" hidden="false" customHeight="false" outlineLevel="0" collapsed="false">
      <c r="A15" s="22" t="s">
        <v>405</v>
      </c>
      <c r="B15" s="23" t="n">
        <v>0</v>
      </c>
      <c r="C15" s="23" t="n">
        <v>0</v>
      </c>
      <c r="D15" s="23" t="n">
        <v>0.15</v>
      </c>
      <c r="E15" s="23" t="n">
        <v>0</v>
      </c>
      <c r="F15" s="23" t="n">
        <v>0</v>
      </c>
    </row>
    <row r="16" customFormat="false" ht="15" hidden="false" customHeight="false" outlineLevel="0" collapsed="false">
      <c r="A16" s="22" t="s">
        <v>406</v>
      </c>
      <c r="B16" s="23" t="n">
        <v>0</v>
      </c>
      <c r="C16" s="23" t="n">
        <v>0.03</v>
      </c>
      <c r="D16" s="23" t="n">
        <v>0</v>
      </c>
      <c r="E16" s="23" t="n">
        <v>0</v>
      </c>
      <c r="F16" s="23" t="n">
        <v>0</v>
      </c>
    </row>
    <row r="17" customFormat="false" ht="15" hidden="false" customHeight="false" outlineLevel="0" collapsed="false">
      <c r="A17" s="22" t="s">
        <v>407</v>
      </c>
      <c r="B17" s="23" t="n">
        <v>0</v>
      </c>
      <c r="C17" s="23" t="n">
        <v>0</v>
      </c>
      <c r="D17" s="23" t="n">
        <v>0</v>
      </c>
      <c r="E17" s="23" t="n">
        <v>1.4</v>
      </c>
      <c r="F17" s="23" t="n">
        <v>0</v>
      </c>
    </row>
    <row r="18" customFormat="false" ht="15" hidden="false" customHeight="false" outlineLevel="0" collapsed="false">
      <c r="A18" s="22" t="s">
        <v>408</v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0.1</v>
      </c>
    </row>
    <row r="19" customFormat="false" ht="15" hidden="false" customHeight="false" outlineLevel="0" collapsed="false">
      <c r="A19" s="10" t="s">
        <v>409</v>
      </c>
      <c r="B19" s="24" t="n">
        <f aca="false">SUM(B11:B18)</f>
        <v>0.88</v>
      </c>
      <c r="C19" s="24" t="n">
        <f aca="false">SUM(C11:C18)</f>
        <v>1.21</v>
      </c>
      <c r="D19" s="24" t="n">
        <f aca="false">SUM(D11:D18)</f>
        <v>1.48</v>
      </c>
      <c r="E19" s="24" t="n">
        <f aca="false">SUM(E11:E18)</f>
        <v>2.68</v>
      </c>
      <c r="F19" s="24" t="n">
        <f aca="false">SUM(F11:F18)</f>
        <v>0.98</v>
      </c>
    </row>
    <row r="20" customFormat="false" ht="15" hidden="false" customHeight="false" outlineLevel="0" collapsed="false">
      <c r="A20" s="10" t="s">
        <v>410</v>
      </c>
      <c r="B20" s="24" t="n">
        <f aca="false">B19/$B$7</f>
        <v>1</v>
      </c>
      <c r="C20" s="24" t="n">
        <f aca="false">C19/$B$7</f>
        <v>1.375</v>
      </c>
      <c r="D20" s="24" t="n">
        <f aca="false">D19/$B$7</f>
        <v>1.68181818181818</v>
      </c>
      <c r="E20" s="24" t="n">
        <f aca="false">E19/$B$7</f>
        <v>3.04545454545455</v>
      </c>
      <c r="F20" s="24" t="n">
        <f aca="false">F19/$B$7</f>
        <v>1.11363636363636</v>
      </c>
    </row>
    <row r="21" customFormat="false" ht="15" hidden="false" customHeight="false" outlineLevel="0" collapsed="false">
      <c r="A21" s="10" t="s">
        <v>411</v>
      </c>
      <c r="B21" s="25" t="n">
        <f aca="false">IF(B20=0,"",$B$8/B20)</f>
        <v>9.324</v>
      </c>
      <c r="C21" s="25" t="n">
        <f aca="false">IF(C20=0,"",$B$8/C20)</f>
        <v>6.78109090909091</v>
      </c>
      <c r="D21" s="25" t="n">
        <f aca="false">IF(D20=0,"",$B$8/D20)</f>
        <v>5.544</v>
      </c>
      <c r="E21" s="25" t="n">
        <f aca="false">IF(E20=0,"",$B$8/E20)</f>
        <v>3.06161194029851</v>
      </c>
      <c r="F21" s="25" t="n">
        <f aca="false">IF(F20=0,"",$B$8/F20)</f>
        <v>8.37257142857143</v>
      </c>
    </row>
    <row r="23" customFormat="false" ht="27.75" hidden="false" customHeight="true" outlineLevel="0" collapsed="false">
      <c r="A23" s="14" t="s">
        <v>412</v>
      </c>
      <c r="B23" s="14"/>
      <c r="C23" s="14"/>
      <c r="D23" s="14"/>
      <c r="E23" s="14"/>
      <c r="F23" s="14"/>
    </row>
  </sheetData>
  <mergeCells count="1"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413</v>
      </c>
    </row>
    <row r="2" customFormat="false" ht="15" hidden="false" customHeight="false" outlineLevel="0" collapsed="false">
      <c r="A2" s="2" t="s">
        <v>414</v>
      </c>
    </row>
    <row r="4" customFormat="false" ht="15" hidden="false" customHeight="false" outlineLevel="0" collapsed="false">
      <c r="A4" s="3" t="s">
        <v>3</v>
      </c>
      <c r="B4" s="3" t="s">
        <v>415</v>
      </c>
    </row>
    <row r="5" customFormat="false" ht="23.85" hidden="false" customHeight="false" outlineLevel="0" collapsed="false">
      <c r="A5" s="26" t="s">
        <v>416</v>
      </c>
      <c r="B5" s="6" t="s">
        <v>417</v>
      </c>
    </row>
    <row r="6" customFormat="false" ht="23.85" hidden="false" customHeight="false" outlineLevel="0" collapsed="false">
      <c r="A6" s="26" t="s">
        <v>114</v>
      </c>
      <c r="B6" s="6" t="s">
        <v>418</v>
      </c>
    </row>
    <row r="7" customFormat="false" ht="15" hidden="false" customHeight="false" outlineLevel="0" collapsed="false">
      <c r="A7" s="26" t="s">
        <v>419</v>
      </c>
      <c r="B7" s="6" t="s">
        <v>420</v>
      </c>
    </row>
    <row r="8" customFormat="false" ht="23.85" hidden="false" customHeight="false" outlineLevel="0" collapsed="false">
      <c r="A8" s="26" t="s">
        <v>421</v>
      </c>
      <c r="B8" s="6" t="s">
        <v>422</v>
      </c>
    </row>
    <row r="9" customFormat="false" ht="15" hidden="false" customHeight="false" outlineLevel="0" collapsed="false">
      <c r="A9" s="26" t="s">
        <v>28</v>
      </c>
      <c r="B9" s="6" t="s">
        <v>423</v>
      </c>
    </row>
    <row r="10" customFormat="false" ht="23.85" hidden="false" customHeight="false" outlineLevel="0" collapsed="false">
      <c r="A10" s="26" t="s">
        <v>424</v>
      </c>
      <c r="B10" s="6" t="s">
        <v>425</v>
      </c>
    </row>
    <row r="11" customFormat="false" ht="23.85" hidden="false" customHeight="false" outlineLevel="0" collapsed="false">
      <c r="A11" s="26" t="s">
        <v>88</v>
      </c>
      <c r="B11" s="6" t="s">
        <v>426</v>
      </c>
    </row>
    <row r="12" customFormat="false" ht="23.85" hidden="false" customHeight="false" outlineLevel="0" collapsed="false">
      <c r="A12" s="26" t="s">
        <v>113</v>
      </c>
      <c r="B12" s="6" t="s">
        <v>427</v>
      </c>
    </row>
    <row r="13" customFormat="false" ht="15" hidden="false" customHeight="false" outlineLevel="0" collapsed="false">
      <c r="A13" s="26" t="s">
        <v>405</v>
      </c>
      <c r="B13" s="6" t="s">
        <v>428</v>
      </c>
    </row>
    <row r="14" customFormat="false" ht="23.85" hidden="false" customHeight="false" outlineLevel="0" collapsed="false">
      <c r="A14" s="26" t="s">
        <v>129</v>
      </c>
      <c r="B14" s="6" t="s">
        <v>429</v>
      </c>
    </row>
    <row r="15" customFormat="false" ht="23.85" hidden="false" customHeight="false" outlineLevel="0" collapsed="false">
      <c r="A15" s="26" t="s">
        <v>169</v>
      </c>
      <c r="B15" s="6" t="s">
        <v>430</v>
      </c>
    </row>
    <row r="16" customFormat="false" ht="23.85" hidden="false" customHeight="false" outlineLevel="0" collapsed="false">
      <c r="A16" s="26" t="s">
        <v>431</v>
      </c>
      <c r="B16" s="6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22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433</v>
      </c>
    </row>
    <row r="2" customFormat="false" ht="15" hidden="false" customHeight="false" outlineLevel="0" collapsed="false">
      <c r="A2" s="2" t="s">
        <v>434</v>
      </c>
    </row>
    <row r="4" customFormat="false" ht="15" hidden="false" customHeight="false" outlineLevel="0" collapsed="false">
      <c r="A4" s="3" t="s">
        <v>2</v>
      </c>
      <c r="B4" s="3" t="s">
        <v>435</v>
      </c>
      <c r="C4" s="3" t="s">
        <v>436</v>
      </c>
      <c r="D4" s="3" t="s">
        <v>437</v>
      </c>
    </row>
    <row r="5" customFormat="false" ht="23.85" hidden="false" customHeight="false" outlineLevel="0" collapsed="false">
      <c r="A5" s="6" t="n">
        <v>1</v>
      </c>
      <c r="B5" s="6" t="s">
        <v>438</v>
      </c>
      <c r="C5" s="6" t="s">
        <v>439</v>
      </c>
      <c r="D5" s="6" t="s">
        <v>440</v>
      </c>
    </row>
    <row r="6" customFormat="false" ht="15" hidden="false" customHeight="false" outlineLevel="0" collapsed="false">
      <c r="A6" s="6" t="n">
        <v>2</v>
      </c>
      <c r="B6" s="6" t="s">
        <v>441</v>
      </c>
      <c r="C6" s="6" t="s">
        <v>439</v>
      </c>
      <c r="D6" s="6" t="s">
        <v>440</v>
      </c>
    </row>
    <row r="7" customFormat="false" ht="15" hidden="false" customHeight="false" outlineLevel="0" collapsed="false">
      <c r="A7" s="6" t="n">
        <v>3</v>
      </c>
      <c r="B7" s="6" t="s">
        <v>442</v>
      </c>
      <c r="C7" s="6" t="s">
        <v>439</v>
      </c>
      <c r="D7" s="6" t="s">
        <v>440</v>
      </c>
    </row>
    <row r="8" customFormat="false" ht="15" hidden="false" customHeight="false" outlineLevel="0" collapsed="false">
      <c r="A8" s="6" t="n">
        <v>4</v>
      </c>
      <c r="B8" s="6" t="s">
        <v>443</v>
      </c>
      <c r="C8" s="6" t="s">
        <v>439</v>
      </c>
      <c r="D8" s="6" t="s">
        <v>440</v>
      </c>
    </row>
    <row r="9" customFormat="false" ht="15" hidden="false" customHeight="false" outlineLevel="0" collapsed="false">
      <c r="A9" s="6" t="n">
        <v>5</v>
      </c>
      <c r="B9" s="6" t="s">
        <v>444</v>
      </c>
      <c r="C9" s="6" t="s">
        <v>445</v>
      </c>
      <c r="D9" s="6" t="s">
        <v>440</v>
      </c>
    </row>
    <row r="10" customFormat="false" ht="15" hidden="false" customHeight="false" outlineLevel="0" collapsed="false">
      <c r="A10" s="6" t="n">
        <v>6</v>
      </c>
      <c r="B10" s="6" t="s">
        <v>446</v>
      </c>
      <c r="C10" s="6" t="s">
        <v>445</v>
      </c>
      <c r="D10" s="6" t="s">
        <v>440</v>
      </c>
    </row>
    <row r="11" customFormat="false" ht="23.85" hidden="false" customHeight="false" outlineLevel="0" collapsed="false">
      <c r="A11" s="6" t="n">
        <v>7</v>
      </c>
      <c r="B11" s="6" t="s">
        <v>447</v>
      </c>
      <c r="C11" s="6" t="s">
        <v>445</v>
      </c>
      <c r="D11" s="6" t="s">
        <v>440</v>
      </c>
    </row>
    <row r="12" customFormat="false" ht="15" hidden="false" customHeight="false" outlineLevel="0" collapsed="false">
      <c r="A12" s="6" t="n">
        <v>8</v>
      </c>
      <c r="B12" s="6" t="s">
        <v>448</v>
      </c>
      <c r="C12" s="6" t="s">
        <v>449</v>
      </c>
      <c r="D12" s="6" t="s">
        <v>440</v>
      </c>
    </row>
    <row r="13" customFormat="false" ht="15" hidden="false" customHeight="false" outlineLevel="0" collapsed="false">
      <c r="A13" s="6" t="n">
        <v>9</v>
      </c>
      <c r="B13" s="6" t="s">
        <v>450</v>
      </c>
      <c r="C13" s="6" t="s">
        <v>445</v>
      </c>
      <c r="D13" s="6" t="s">
        <v>440</v>
      </c>
    </row>
    <row r="14" customFormat="false" ht="15" hidden="false" customHeight="false" outlineLevel="0" collapsed="false">
      <c r="A14" s="6" t="n">
        <v>10</v>
      </c>
      <c r="B14" s="6" t="s">
        <v>451</v>
      </c>
      <c r="C14" s="6" t="s">
        <v>452</v>
      </c>
      <c r="D14" s="6" t="s">
        <v>440</v>
      </c>
    </row>
    <row r="15" customFormat="false" ht="15" hidden="false" customHeight="false" outlineLevel="0" collapsed="false">
      <c r="A15" s="6" t="n">
        <v>11</v>
      </c>
      <c r="B15" s="6" t="s">
        <v>453</v>
      </c>
      <c r="C15" s="6" t="s">
        <v>454</v>
      </c>
      <c r="D15" s="6" t="s">
        <v>440</v>
      </c>
    </row>
    <row r="16" customFormat="false" ht="15" hidden="false" customHeight="false" outlineLevel="0" collapsed="false">
      <c r="A16" s="6" t="n">
        <v>12</v>
      </c>
      <c r="B16" s="6" t="s">
        <v>455</v>
      </c>
      <c r="C16" s="6" t="s">
        <v>454</v>
      </c>
      <c r="D16" s="6" t="s">
        <v>440</v>
      </c>
    </row>
    <row r="17" customFormat="false" ht="15" hidden="false" customHeight="false" outlineLevel="0" collapsed="false">
      <c r="A17" s="6" t="n">
        <v>13</v>
      </c>
      <c r="B17" s="6" t="s">
        <v>456</v>
      </c>
      <c r="C17" s="6" t="s">
        <v>457</v>
      </c>
      <c r="D17" s="6" t="s">
        <v>440</v>
      </c>
    </row>
  </sheetData>
  <dataValidations count="1">
    <dataValidation allowBlank="true" errorStyle="stop" operator="between" showDropDown="false" showErrorMessage="false" showInputMessage="false" sqref="D5:D17" type="list">
      <formula1>"открыт,в работе,закрыт"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2026-10-02T18:45:55Z</dcterms:created>
  <dc:creator>openpyxl</dc:creator>
  <dc:description/>
  <dc:language>en-US</dc:language>
  <cp:lastModifiedBy/>
  <dcterms:modified xsi:type="dcterms:W3CDTF">2026-10-02T18:45:55Z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