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Материнка" sheetId="1" state="visible" r:id="rId3"/>
    <sheet name="Аналоговый модуль" sheetId="2" state="visible" r:id="rId4"/>
    <sheet name="Модули и механика" sheetId="3" state="visible" r:id="rId5"/>
    <sheet name="Пассив" sheetId="4" state="visible" r:id="rId6"/>
    <sheet name="Стоимость" sheetId="5" state="visible" r:id="rId7"/>
    <sheet name="Примечания" sheetId="6" state="visible" r:id="rId8"/>
  </sheets>
  <definedNames>
    <definedName function="false" hidden="true" localSheetId="1" name="_xlnm._FilterDatabase" vbProcedure="false">'Аналоговый модуль'!$A$1:$L$41</definedName>
    <definedName function="false" hidden="true" localSheetId="0" name="_xlnm._FilterDatabase" vbProcedure="false">Материнка!$A$1:$L$113</definedName>
    <definedName function="false" hidden="true" localSheetId="2" name="_xlnm._FilterDatabase" vbProcedure="false">'Модули и механика'!$A$1:$L$7</definedName>
    <definedName function="false" hidden="true" localSheetId="3" name="_xlnm._FilterDatabase" vbProcedure="false">Пассив!$A$1:$L$14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<sst xmlns="http://schemas.openxmlformats.org/spreadsheetml/2006/main" count="1515" uniqueCount="845">
  <si>
    <t xml:space="preserve">Блок</t>
  </si>
  <si>
    <t xml:space="preserve">Роль</t>
  </si>
  <si>
    <t xml:space="preserve">MPN</t>
  </si>
  <si>
    <t xml:space="preserve">Производитель</t>
  </si>
  <si>
    <t xml:space="preserve">Корпус</t>
  </si>
  <si>
    <t xml:space="preserve">Кол-во на прибор</t>
  </si>
  <si>
    <t xml:space="preserve">LCSC</t>
  </si>
  <si>
    <t xml:space="preserve">Цена за шт., $</t>
  </si>
  <si>
    <t xml:space="preserve">Сумма, $</t>
  </si>
  <si>
    <t xml:space="preserve">Источник цены</t>
  </si>
  <si>
    <t xml:space="preserve">Даташит</t>
  </si>
  <si>
    <t xml:space="preserve">Примечание</t>
  </si>
  <si>
    <t xml:space="preserve">41 MCU и тактирование</t>
  </si>
  <si>
    <t xml:space="preserve">Супервизор</t>
  </si>
  <si>
    <t xml:space="preserve">CH32H417QEU6</t>
  </si>
  <si>
    <t xml:space="preserve">WCH</t>
  </si>
  <si>
    <t xml:space="preserve">QFN-128 12,3×12,3 мм, шаг 0,35 мм</t>
  </si>
  <si>
    <t xml:space="preserve">C49363240</t>
  </si>
  <si>
    <t xml:space="preserve">LCSC 31.10.2026</t>
  </si>
  <si>
    <t xml:space="preserve">wch-ic.com</t>
  </si>
  <si>
    <t xml:space="preserve">MCU RISC-V, 896 КБ RAM, 95 GPIO, USB 3</t>
  </si>
  <si>
    <t xml:space="preserve">Кварц HSE 25 МГц</t>
  </si>
  <si>
    <t xml:space="preserve">X322525MOB4SI</t>
  </si>
  <si>
    <t xml:space="preserve">YXC</t>
  </si>
  <si>
    <t xml:space="preserve">SMD3225-4P</t>
  </si>
  <si>
    <t xml:space="preserve">C9006</t>
  </si>
  <si>
    <t xml:space="preserve">PDF LCSC</t>
  </si>
  <si>
    <t xml:space="preserve">CL 12 пФ, ±10 ppm</t>
  </si>
  <si>
    <t xml:space="preserve">Кварц LSE 32,768 кГц</t>
  </si>
  <si>
    <t xml:space="preserve">MC-306 32.7680K-A0</t>
  </si>
  <si>
    <t xml:space="preserve">Seiko Epson</t>
  </si>
  <si>
    <t xml:space="preserve">MC-306, 8,0×3,8 мм</t>
  </si>
  <si>
    <t xml:space="preserve">C16320</t>
  </si>
  <si>
    <t xml:space="preserve">RTC в домене VBAT, CL 12,5 пФ; в каталоге LCSC под кодом Q13MC30610003</t>
  </si>
  <si>
    <t xml:space="preserve">Стабилизатор ядра 1,23 В</t>
  </si>
  <si>
    <t xml:space="preserve">TLV62569DBVR</t>
  </si>
  <si>
    <t xml:space="preserve">Texas Instruments</t>
  </si>
  <si>
    <t xml:space="preserve">SOT-23-5</t>
  </si>
  <si>
    <t xml:space="preserve">C141836</t>
  </si>
  <si>
    <t xml:space="preserve">buck 2 А, 1,5 МГц</t>
  </si>
  <si>
    <t xml:space="preserve">Дроссель ядра 2,2 мкГн</t>
  </si>
  <si>
    <t xml:space="preserve">SWPA3015S2R2MT</t>
  </si>
  <si>
    <t xml:space="preserve">Sunlord</t>
  </si>
  <si>
    <t xml:space="preserve">SMD 3×3×1,5 мм</t>
  </si>
  <si>
    <t xml:space="preserve">C43389</t>
  </si>
  <si>
    <t xml:space="preserve">каталог JLCPCB 31.10.2026</t>
  </si>
  <si>
    <t xml:space="preserve">2 А</t>
  </si>
  <si>
    <t xml:space="preserve">NOR-флеш 16 МБ</t>
  </si>
  <si>
    <t xml:space="preserve">W25Q128JVSIQ</t>
  </si>
  <si>
    <t xml:space="preserve">Winbond</t>
  </si>
  <si>
    <t xml:space="preserve">SOIC-8 208 mil</t>
  </si>
  <si>
    <t xml:space="preserve">C97521</t>
  </si>
  <si>
    <t xml:space="preserve">SPI/QSPI, 133 МГц</t>
  </si>
  <si>
    <t xml:space="preserve">TCXO 25 МГц ±0,5 ppm</t>
  </si>
  <si>
    <t xml:space="preserve">8132S-25.000MQ33DTL</t>
  </si>
  <si>
    <t xml:space="preserve">HCI</t>
  </si>
  <si>
    <t xml:space="preserve">C19674258</t>
  </si>
  <si>
    <t xml:space="preserve">3,3 В, выход clipped sine</t>
  </si>
  <si>
    <t xml:space="preserve">Формирователь сигнала TCXO</t>
  </si>
  <si>
    <t xml:space="preserve">SN74LVC1GU04DBVR</t>
  </si>
  <si>
    <t xml:space="preserve">C81934</t>
  </si>
  <si>
    <t xml:space="preserve">небуферный инвертор: clipped sine в КМОП</t>
  </si>
  <si>
    <t xml:space="preserve">Буфер опорной частоты 1→2</t>
  </si>
  <si>
    <t xml:space="preserve">SN74LVC2G34DBVR</t>
  </si>
  <si>
    <t xml:space="preserve">SOT-23-6</t>
  </si>
  <si>
    <t xml:space="preserve">C347589</t>
  </si>
  <si>
    <t xml:space="preserve">25 МГц на ПЛИС и на мезонин</t>
  </si>
  <si>
    <t xml:space="preserve">Сопроцессор ввода</t>
  </si>
  <si>
    <t xml:space="preserve">CH32V003F4P6</t>
  </si>
  <si>
    <t xml:space="preserve">TSSOP-20</t>
  </si>
  <si>
    <t xml:space="preserve">C5187096</t>
  </si>
  <si>
    <t xml:space="preserve">опрос 11 кнопок и колеса, I²C к супервизору; прошивка по SWIO</t>
  </si>
  <si>
    <t xml:space="preserve">Расширитель выходов</t>
  </si>
  <si>
    <t xml:space="preserve">TCA9535PWR</t>
  </si>
  <si>
    <t xml:space="preserve">TSSOP-24</t>
  </si>
  <si>
    <t xml:space="preserve">C130204</t>
  </si>
  <si>
    <t xml:space="preserve">I²C, 16 линий: EN доменов питания и периферии</t>
  </si>
  <si>
    <t xml:space="preserve">Индикатор двухцветный</t>
  </si>
  <si>
    <t xml:space="preserve">LTST-C155KGJRKT</t>
  </si>
  <si>
    <t xml:space="preserve">Lite-On</t>
  </si>
  <si>
    <t xml:space="preserve">SMD 3,2×2,7 мм</t>
  </si>
  <si>
    <t xml:space="preserve">C115448</t>
  </si>
  <si>
    <t xml:space="preserve">красный 631 нм и жёлто-зелёный 571 нм, кристаллы раздельно</t>
  </si>
  <si>
    <t xml:space="preserve">Датчик температуры</t>
  </si>
  <si>
    <t xml:space="preserve">TMP1075DGKR</t>
  </si>
  <si>
    <t xml:space="preserve">VSSOP-8</t>
  </si>
  <si>
    <t xml:space="preserve">C2864807</t>
  </si>
  <si>
    <t xml:space="preserve">I²C, ±1 °C</t>
  </si>
  <si>
    <t xml:space="preserve">LDO VBAT</t>
  </si>
  <si>
    <t xml:space="preserve">TPS7A0230PDBVR</t>
  </si>
  <si>
    <t xml:space="preserve">C3747031</t>
  </si>
  <si>
    <t xml:space="preserve">3,0 В, Iq 25 нА; питание RTC в режиме хранения</t>
  </si>
  <si>
    <t xml:space="preserve">Кнопка RESET</t>
  </si>
  <si>
    <t xml:space="preserve">TS-1187A-C-A-B</t>
  </si>
  <si>
    <t xml:space="preserve">XKB</t>
  </si>
  <si>
    <t xml:space="preserve">SMD 5,1×5,1 мм</t>
  </si>
  <si>
    <t xml:space="preserve">C480267</t>
  </si>
  <si>
    <t xml:space="preserve">тактовая, высота 1,5 мм</t>
  </si>
  <si>
    <t xml:space="preserve">42 USB-C, PD, питание</t>
  </si>
  <si>
    <t xml:space="preserve">Разъём USB-C 24p</t>
  </si>
  <si>
    <t xml:space="preserve">HC-TYPE-C-24P-MM0.8-5A-01</t>
  </si>
  <si>
    <t xml:space="preserve">HCTL</t>
  </si>
  <si>
    <t xml:space="preserve">SMD mid-mount, утопление 0,8 мм</t>
  </si>
  <si>
    <t xml:space="preserve">C5345933</t>
  </si>
  <si>
    <t xml:space="preserve">USB 3, 5 А; тип разъёма выбирается по чертежу под плату 1,5 мм, второй вариант SHOU HAN TYPE-C 24P QT CB1.6 (LCSC C49287223)</t>
  </si>
  <si>
    <t xml:space="preserve">Контроллер USB PD 3.1 DRP</t>
  </si>
  <si>
    <t xml:space="preserve">TPS25751DREFR</t>
  </si>
  <si>
    <t xml:space="preserve">WQFN-38 4×6 мм, шаг 0,4 мм</t>
  </si>
  <si>
    <t xml:space="preserve">C30169739</t>
  </si>
  <si>
    <t xml:space="preserve">ti.com</t>
  </si>
  <si>
    <t xml:space="preserve">роли источника и потребителя</t>
  </si>
  <si>
    <t xml:space="preserve">Мультиплексор SuperSpeed</t>
  </si>
  <si>
    <t xml:space="preserve">HD3SS3212IRKSR</t>
  </si>
  <si>
    <t xml:space="preserve">VQFN-20 2,5×4,5 мм</t>
  </si>
  <si>
    <t xml:space="preserve">C544517</t>
  </si>
  <si>
    <t xml:space="preserve">2:1 для пар SS, ориентация разъёма; −40…85 °C</t>
  </si>
  <si>
    <t xml:space="preserve">ESD на линиях SS</t>
  </si>
  <si>
    <t xml:space="preserve">TPD4E05U06DQAR</t>
  </si>
  <si>
    <t xml:space="preserve">USON-10 1×2,5 мм</t>
  </si>
  <si>
    <t xml:space="preserve">C138714</t>
  </si>
  <si>
    <t xml:space="preserve">4 канала, 0,5 пФ</t>
  </si>
  <si>
    <t xml:space="preserve">ESD на D± и QWIIC</t>
  </si>
  <si>
    <t xml:space="preserve">TPD2E2U06DRLR</t>
  </si>
  <si>
    <t xml:space="preserve">SOT-553</t>
  </si>
  <si>
    <t xml:space="preserve">C1972959</t>
  </si>
  <si>
    <t xml:space="preserve">2 канала, 1,5 пФ; второй корпус на SDA/SCL QWIIC</t>
  </si>
  <si>
    <t xml:space="preserve">TVS на VBUS</t>
  </si>
  <si>
    <t xml:space="preserve">TVS2200DRVR</t>
  </si>
  <si>
    <t xml:space="preserve">WSON-6 2×2 мм</t>
  </si>
  <si>
    <t xml:space="preserve">C523793</t>
  </si>
  <si>
    <t xml:space="preserve">VRWM 22 В</t>
  </si>
  <si>
    <t xml:space="preserve">Зарядное устройство</t>
  </si>
  <si>
    <t xml:space="preserve">BQ25798RQMR</t>
  </si>
  <si>
    <t xml:space="preserve">VQFN-HR-29 4×4 мм, шаг 0,4 мм</t>
  </si>
  <si>
    <t xml:space="preserve">C2876593</t>
  </si>
  <si>
    <t xml:space="preserve">NVDC buck-boost 1–4S (в приборе 1S), заряд до 5 А, OTG</t>
  </si>
  <si>
    <t xml:space="preserve">Ключ SFET зарядника</t>
  </si>
  <si>
    <t xml:space="preserve">IRF7832TRPBF</t>
  </si>
  <si>
    <t xml:space="preserve">Infineon</t>
  </si>
  <si>
    <t xml:space="preserve">SO-8</t>
  </si>
  <si>
    <t xml:space="preserve">C3002</t>
  </si>
  <si>
    <t xml:space="preserve">N-MOSFET 30 В, 4,8 мОм; итоговый MPN подбирается по Qg ≤ 15 нКл</t>
  </si>
  <si>
    <t xml:space="preserve">Дроссель зарядника 2,2 мкГн</t>
  </si>
  <si>
    <t xml:space="preserve">SPM6530T-2R2M</t>
  </si>
  <si>
    <t xml:space="preserve">TDK</t>
  </si>
  <si>
    <t xml:space="preserve">SMD 7,1×6,5×3,0 мм</t>
  </si>
  <si>
    <t xml:space="preserve">C76855</t>
  </si>
  <si>
    <t xml:space="preserve">Isat 8,4 А, DCR 19 мОм</t>
  </si>
  <si>
    <t xml:space="preserve">Шунт топливомера 10 мОм</t>
  </si>
  <si>
    <t xml:space="preserve">PE1206FKE470R01Z</t>
  </si>
  <si>
    <t xml:space="preserve">Yageo</t>
  </si>
  <si>
    <t xml:space="preserve">1206</t>
  </si>
  <si>
    <t xml:space="preserve">C364375</t>
  </si>
  <si>
    <t xml:space="preserve">1 %, 1 Вт, 50 ppm</t>
  </si>
  <si>
    <t xml:space="preserve">Топливомер</t>
  </si>
  <si>
    <t xml:space="preserve">BQ27441DRZR-G1A</t>
  </si>
  <si>
    <t xml:space="preserve">VSON-12 2,5×4 мм</t>
  </si>
  <si>
    <t xml:space="preserve">C473397</t>
  </si>
  <si>
    <t xml:space="preserve">1S Li-ion, I²C</t>
  </si>
  <si>
    <t xml:space="preserve">Шина 3V3_AON</t>
  </si>
  <si>
    <t xml:space="preserve">TPS63802DLAR</t>
  </si>
  <si>
    <t xml:space="preserve">VSON-HR-10 2×3 мм</t>
  </si>
  <si>
    <t xml:space="preserve">C2845237</t>
  </si>
  <si>
    <t xml:space="preserve">buck-boost 2 А, дежурное питание 3,3 В</t>
  </si>
  <si>
    <t xml:space="preserve">Дроссель 3V3_AON 0,47 мкГн</t>
  </si>
  <si>
    <t xml:space="preserve">DFE201612E-R47M=P2</t>
  </si>
  <si>
    <t xml:space="preserve">Murata</t>
  </si>
  <si>
    <t xml:space="preserve">0806 (2016)</t>
  </si>
  <si>
    <t xml:space="preserve">C668312</t>
  </si>
  <si>
    <t xml:space="preserve">Isat 5,5 А</t>
  </si>
  <si>
    <t xml:space="preserve">Буст 5V_FPGA и PP5V</t>
  </si>
  <si>
    <t xml:space="preserve">TPS61023DRLR</t>
  </si>
  <si>
    <t xml:space="preserve">SOT-563</t>
  </si>
  <si>
    <t xml:space="preserve">C919459</t>
  </si>
  <si>
    <t xml:space="preserve">3 А; 5 В на модуль ПЛИС и шину PP5V (VCONN)</t>
  </si>
  <si>
    <t xml:space="preserve">Дроссель буста 1 мкГн</t>
  </si>
  <si>
    <t xml:space="preserve">SPM6530T-1R0M120</t>
  </si>
  <si>
    <t xml:space="preserve">SMD 7,1×6,5 мм</t>
  </si>
  <si>
    <t xml:space="preserve">C87572</t>
  </si>
  <si>
    <t xml:space="preserve">Isat 14,1 А</t>
  </si>
  <si>
    <t xml:space="preserve">Ключи доменов питания</t>
  </si>
  <si>
    <t xml:space="preserve">TPS22917DBVR</t>
  </si>
  <si>
    <t xml:space="preserve">C2681320</t>
  </si>
  <si>
    <t xml:space="preserve">3V3_IO, 3V3 и VSYS мезонина; 2 А, 80 мОм</t>
  </si>
  <si>
    <t xml:space="preserve">Разъём банки на плате</t>
  </si>
  <si>
    <t xml:space="preserve">B3B-XH-A(LF)(SN)</t>
  </si>
  <si>
    <t xml:space="preserve">JST</t>
  </si>
  <si>
    <t xml:space="preserve">THT, шаг 2,5 мм</t>
  </si>
  <si>
    <t xml:space="preserve">C144394</t>
  </si>
  <si>
    <t xml:space="preserve">XH, 3 конт.: BAT+, BAT−, NTC; 3 А</t>
  </si>
  <si>
    <t xml:space="preserve">Корпус ответной части разъёма банки</t>
  </si>
  <si>
    <t xml:space="preserve">XHP-3</t>
  </si>
  <si>
    <t xml:space="preserve">шаг 2,5 мм</t>
  </si>
  <si>
    <t xml:space="preserve">C144402</t>
  </si>
  <si>
    <t xml:space="preserve">на проводах банки и NTC; подходит готовый провод XH-3 с обжатыми контактами</t>
  </si>
  <si>
    <t xml:space="preserve">Контакты ответной части разъёма банки</t>
  </si>
  <si>
    <t xml:space="preserve">SXH-001T-P0.6</t>
  </si>
  <si>
    <t xml:space="preserve">обжимной</t>
  </si>
  <si>
    <t xml:space="preserve">C140573</t>
  </si>
  <si>
    <t xml:space="preserve">провод AWG 22–28</t>
  </si>
  <si>
    <t xml:space="preserve">Полимерный конденсатор PP5V</t>
  </si>
  <si>
    <t xml:space="preserve">10TPF150ML</t>
  </si>
  <si>
    <t xml:space="preserve">Panasonic</t>
  </si>
  <si>
    <t xml:space="preserve">2917</t>
  </si>
  <si>
    <t xml:space="preserve">C347559</t>
  </si>
  <si>
    <t xml:space="preserve">150 мкФ 10 В, ESR 15 мОм; на PP5V нужно ≥ 120 мкФ</t>
  </si>
  <si>
    <t xml:space="preserve">43 Лаб. БП и измерения</t>
  </si>
  <si>
    <t xml:space="preserve">Buck-boost CV/CC</t>
  </si>
  <si>
    <t xml:space="preserve">TPS55289RYQR</t>
  </si>
  <si>
    <t xml:space="preserve">VQFN-HR-21 3×5 мм</t>
  </si>
  <si>
    <t xml:space="preserve">C5942077</t>
  </si>
  <si>
    <t xml:space="preserve">выход 0,8–22 В, ограничение тока, I²C</t>
  </si>
  <si>
    <t xml:space="preserve">Дроссель 3,3 мкГн</t>
  </si>
  <si>
    <t xml:space="preserve">IHLP2525CZER3R3M01</t>
  </si>
  <si>
    <t xml:space="preserve">Vishay</t>
  </si>
  <si>
    <t xml:space="preserve">SMD 6,9×6,5 мм</t>
  </si>
  <si>
    <t xml:space="preserve">C506574</t>
  </si>
  <si>
    <t xml:space="preserve">Isat 13,5 А, DCR 28 мОм</t>
  </si>
  <si>
    <t xml:space="preserve">Шунт CC 20 мОм</t>
  </si>
  <si>
    <t xml:space="preserve">ERJ-8CWFR020V</t>
  </si>
  <si>
    <t xml:space="preserve">C713435</t>
  </si>
  <si>
    <t xml:space="preserve">1 %, 1 Вт</t>
  </si>
  <si>
    <t xml:space="preserve">Конденсатор 10 мкФ 50 В</t>
  </si>
  <si>
    <t xml:space="preserve">GRM32ER71H106KA12L</t>
  </si>
  <si>
    <t xml:space="preserve">1210</t>
  </si>
  <si>
    <t xml:space="preserve">C77102</t>
  </si>
  <si>
    <t xml:space="preserve">X7R; 3 на входе и 6 на выходе TPS55289</t>
  </si>
  <si>
    <t xml:space="preserve">Идеальный диод VIN_HV</t>
  </si>
  <si>
    <t xml:space="preserve">LM74700QDBVRQ1</t>
  </si>
  <si>
    <t xml:space="preserve">C2941042</t>
  </si>
  <si>
    <t xml:space="preserve">контроллер идеального диода, до 65 В</t>
  </si>
  <si>
    <t xml:space="preserve">Идеальный диод VSYS</t>
  </si>
  <si>
    <t xml:space="preserve">LTC4412ES6#TRPBF</t>
  </si>
  <si>
    <t xml:space="preserve">Analog Devices</t>
  </si>
  <si>
    <t xml:space="preserve">TSOT-23-6</t>
  </si>
  <si>
    <t xml:space="preserve">C514442</t>
  </si>
  <si>
    <t xml:space="preserve">контроллер ИЛИ питания, 2,5–28 В</t>
  </si>
  <si>
    <t xml:space="preserve">P-FET VSYS</t>
  </si>
  <si>
    <t xml:space="preserve">AONR21357</t>
  </si>
  <si>
    <t xml:space="preserve">Alpha &amp; Omega</t>
  </si>
  <si>
    <t xml:space="preserve">DFN 3×3 мм</t>
  </si>
  <si>
    <t xml:space="preserve">C431196</t>
  </si>
  <si>
    <t xml:space="preserve">P-MOSFET 30 В, 12,3 мОм при 4,5 В</t>
  </si>
  <si>
    <t xml:space="preserve">Ключи S1–S3, SW, «лом»</t>
  </si>
  <si>
    <t xml:space="preserve">PXN012-60QLJ</t>
  </si>
  <si>
    <t xml:space="preserve">Nexperia</t>
  </si>
  <si>
    <t xml:space="preserve">MLPAK33 3,3×3,3 мм</t>
  </si>
  <si>
    <t xml:space="preserve">C5280958</t>
  </si>
  <si>
    <t xml:space="preserve">N-MOSFET 60 В, 11,5 мОм при 10 В</t>
  </si>
  <si>
    <t xml:space="preserve">Драйверы S1–S3, SW_HS</t>
  </si>
  <si>
    <t xml:space="preserve">VOM1271T</t>
  </si>
  <si>
    <t xml:space="preserve">SOP-4</t>
  </si>
  <si>
    <t xml:space="preserve">C146286</t>
  </si>
  <si>
    <t xml:space="preserve">фотовольтаический драйвер затвора с развязкой</t>
  </si>
  <si>
    <t xml:space="preserve">Измеритель V/I/P/энергии</t>
  </si>
  <si>
    <t xml:space="preserve">INA228AIDGSR</t>
  </si>
  <si>
    <t xml:space="preserve">VSSOP-10</t>
  </si>
  <si>
    <t xml:space="preserve">C2887910</t>
  </si>
  <si>
    <t xml:space="preserve">20 бит, шина до 85 В</t>
  </si>
  <si>
    <t xml:space="preserve">Усилитель тока, быстрый канал</t>
  </si>
  <si>
    <t xml:space="preserve">INA241A3IDR</t>
  </si>
  <si>
    <t xml:space="preserve">SOIC-8</t>
  </si>
  <si>
    <t xml:space="preserve">C22427652</t>
  </si>
  <si>
    <t xml:space="preserve">усиление 50 В/В</t>
  </si>
  <si>
    <t xml:space="preserve">Усилитель тока, малые токи</t>
  </si>
  <si>
    <t xml:space="preserve">INA190A3IDCKR</t>
  </si>
  <si>
    <t xml:space="preserve">SC-70-6</t>
  </si>
  <si>
    <t xml:space="preserve">C2058578</t>
  </si>
  <si>
    <t xml:space="preserve">усиление 100 В/В, Ib 500 пА</t>
  </si>
  <si>
    <t xml:space="preserve">Шунт R1 10 мОм</t>
  </si>
  <si>
    <t xml:space="preserve">WSL2512R0100FEA</t>
  </si>
  <si>
    <t xml:space="preserve">2512</t>
  </si>
  <si>
    <t xml:space="preserve">C844901</t>
  </si>
  <si>
    <t xml:space="preserve">1 %, 1 Вт; подключение по Кельвину</t>
  </si>
  <si>
    <t xml:space="preserve">Шунт R2 1 Ом</t>
  </si>
  <si>
    <t xml:space="preserve">CRCW25121R00FKEG</t>
  </si>
  <si>
    <t xml:space="preserve">C844887</t>
  </si>
  <si>
    <t xml:space="preserve">Шунт R3 100 Ом</t>
  </si>
  <si>
    <t xml:space="preserve">RT0603BRD07100RL</t>
  </si>
  <si>
    <t xml:space="preserve">0603</t>
  </si>
  <si>
    <t xml:space="preserve">C122970</t>
  </si>
  <si>
    <t xml:space="preserve">0,1 %, 25 ppm</t>
  </si>
  <si>
    <t xml:space="preserve">Нагрузка «лома» 1 Ом</t>
  </si>
  <si>
    <t xml:space="preserve">MPN выбирается при разработке</t>
  </si>
  <si>
    <t xml:space="preserve">MPN не выбран</t>
  </si>
  <si>
    <t xml:space="preserve">1 Ом</t>
  </si>
  <si>
    <t xml:space="preserve">Драйверы SW_HF, SW_M, «лом»</t>
  </si>
  <si>
    <t xml:space="preserve">UCC27517DBVR</t>
  </si>
  <si>
    <t xml:space="preserve">C99395</t>
  </si>
  <si>
    <t xml:space="preserve">драйвер нижнего ключа, 4 А</t>
  </si>
  <si>
    <t xml:space="preserve">Буст шины затворов 12 В</t>
  </si>
  <si>
    <t xml:space="preserve">TPS61040DBVR</t>
  </si>
  <si>
    <t xml:space="preserve">C7722</t>
  </si>
  <si>
    <t xml:space="preserve">буст до 28 В</t>
  </si>
  <si>
    <t xml:space="preserve">Диод буста 12 В</t>
  </si>
  <si>
    <t xml:space="preserve">MBR0530T1G</t>
  </si>
  <si>
    <t xml:space="preserve">onsemi</t>
  </si>
  <si>
    <t xml:space="preserve">SOD-123</t>
  </si>
  <si>
    <t xml:space="preserve">C82046</t>
  </si>
  <si>
    <t xml:space="preserve">Шоттки 30 В, 0,5 А</t>
  </si>
  <si>
    <t xml:space="preserve">Дроссель буста 12 В</t>
  </si>
  <si>
    <t xml:space="preserve">10 мкГн</t>
  </si>
  <si>
    <t xml:space="preserve">TVS P1, P2</t>
  </si>
  <si>
    <t xml:space="preserve">SMBJ22CA</t>
  </si>
  <si>
    <t xml:space="preserve">Littelfuse</t>
  </si>
  <si>
    <t xml:space="preserve">SMB (DO-214AA)</t>
  </si>
  <si>
    <t xml:space="preserve">C224016</t>
  </si>
  <si>
    <t xml:space="preserve">двунаправленный, VRWM 22 В, 600 Вт</t>
  </si>
  <si>
    <t xml:space="preserve">Защёлки, ИЛИ, S2, S3, ARM_GEN</t>
  </si>
  <si>
    <t xml:space="preserve">SN74LVC1G3208DBVR</t>
  </si>
  <si>
    <t xml:space="preserve">C2682152</t>
  </si>
  <si>
    <t xml:space="preserve">вентиль И-ИЛИ, 3 входа</t>
  </si>
  <si>
    <t xml:space="preserve">И, GEN_EN</t>
  </si>
  <si>
    <t xml:space="preserve">74LVC1G08GW,125</t>
  </si>
  <si>
    <t xml:space="preserve">SOT-353</t>
  </si>
  <si>
    <t xml:space="preserve">C12512</t>
  </si>
  <si>
    <t xml:space="preserve">вентиль 2И</t>
  </si>
  <si>
    <t xml:space="preserve">И для S3</t>
  </si>
  <si>
    <t xml:space="preserve">74LVC1G11GV,125</t>
  </si>
  <si>
    <t xml:space="preserve">SOT-457 (SC-74)</t>
  </si>
  <si>
    <t xml:space="preserve">C548240</t>
  </si>
  <si>
    <t xml:space="preserve">вентиль 3И</t>
  </si>
  <si>
    <t xml:space="preserve">Компараторы P1</t>
  </si>
  <si>
    <t xml:space="preserve">LMV339IDR</t>
  </si>
  <si>
    <t xml:space="preserve">SOIC-14</t>
  </si>
  <si>
    <t xml:space="preserve">C7978</t>
  </si>
  <si>
    <t xml:space="preserve">4 компаратора, открытый коллектор</t>
  </si>
  <si>
    <t xml:space="preserve">Мультиплексор XADC</t>
  </si>
  <si>
    <t xml:space="preserve">74LVC1G3157GW,125</t>
  </si>
  <si>
    <t xml:space="preserve">SOT-363</t>
  </si>
  <si>
    <t xml:space="preserve">C265126</t>
  </si>
  <si>
    <t xml:space="preserve">аналоговый ключ 2:1, 6 Ом</t>
  </si>
  <si>
    <t xml:space="preserve">Диод И на IN−</t>
  </si>
  <si>
    <t xml:space="preserve">BAT54C,215</t>
  </si>
  <si>
    <t xml:space="preserve">SOT-23</t>
  </si>
  <si>
    <t xml:space="preserve">C37704</t>
  </si>
  <si>
    <t xml:space="preserve">Шоттки, общий катод</t>
  </si>
  <si>
    <t xml:space="preserve">Обратный кламп цепочки</t>
  </si>
  <si>
    <t xml:space="preserve">S1J</t>
  </si>
  <si>
    <t xml:space="preserve">SMA (DO-214AC)</t>
  </si>
  <si>
    <t xml:space="preserve">C184326</t>
  </si>
  <si>
    <t xml:space="preserve">1 А, 600 В</t>
  </si>
  <si>
    <t xml:space="preserve">Перемычка LAB: штыри</t>
  </si>
  <si>
    <t xml:space="preserve">THT, шаг 2,54 мм</t>
  </si>
  <si>
    <t xml:space="preserve">штыревой разъём 1×2</t>
  </si>
  <si>
    <t xml:space="preserve">Перемычка LAB: джампер</t>
  </si>
  <si>
    <t xml:space="preserve">шаг 2,54 мм</t>
  </si>
  <si>
    <t xml:space="preserve">съёмная перемычка, шаг 2,54 мм</t>
  </si>
  <si>
    <t xml:space="preserve">Разъём PWR 2×2</t>
  </si>
  <si>
    <t xml:space="preserve">DS1024-2x2R2</t>
  </si>
  <si>
    <t xml:space="preserve">Connfly</t>
  </si>
  <si>
    <t xml:space="preserve">THT угловой, шаг 2,54 мм</t>
  </si>
  <si>
    <t xml:space="preserve">C7509530</t>
  </si>
  <si>
    <t xml:space="preserve">гнездо 2×2, 3 А на контакт; питание цели</t>
  </si>
  <si>
    <t xml:space="preserve">Ограничитель тока P1</t>
  </si>
  <si>
    <t xml:space="preserve">PTC ≥ 24 В, ток удержания 3–4 А</t>
  </si>
  <si>
    <t xml:space="preserve">Буфер REF 0,2 В</t>
  </si>
  <si>
    <t xml:space="preserve">ОУ rail-to-rail по входу и выходу</t>
  </si>
  <si>
    <t xml:space="preserve">44 ЛА и MIPI20</t>
  </si>
  <si>
    <t xml:space="preserve">Компаратор</t>
  </si>
  <si>
    <t xml:space="preserve">TLV3501AIDBVR</t>
  </si>
  <si>
    <t xml:space="preserve">C193413</t>
  </si>
  <si>
    <t xml:space="preserve">4,5 нс; 16 каналов порта A + CK + TRIG</t>
  </si>
  <si>
    <t xml:space="preserve">TVS на щупе</t>
  </si>
  <si>
    <t xml:space="preserve">ESDCAN05-2BWY</t>
  </si>
  <si>
    <t xml:space="preserve">STMicroelectronics</t>
  </si>
  <si>
    <t xml:space="preserve">SOT-323</t>
  </si>
  <si>
    <t xml:space="preserve">C1973137</t>
  </si>
  <si>
    <t xml:space="preserve">2 канала, двунаправленный, VRWM 36 В, 3 пФ</t>
  </si>
  <si>
    <t xml:space="preserve">Клампы порта A</t>
  </si>
  <si>
    <t xml:space="preserve">BAV199LT1G</t>
  </si>
  <si>
    <t xml:space="preserve">C145516</t>
  </si>
  <si>
    <t xml:space="preserve">утечка ≤ 5 нА</t>
  </si>
  <si>
    <t xml:space="preserve">ЦАП порогов, VCCIO_B, TEST</t>
  </si>
  <si>
    <t xml:space="preserve">MCP4728-E/UN</t>
  </si>
  <si>
    <t xml:space="preserve">Microchip</t>
  </si>
  <si>
    <t xml:space="preserve">MSOP-10</t>
  </si>
  <si>
    <t xml:space="preserve">C108207</t>
  </si>
  <si>
    <t xml:space="preserve">4 канала, 12 бит, I²C</t>
  </si>
  <si>
    <t xml:space="preserve">Ключ петли самопроверки</t>
  </si>
  <si>
    <t xml:space="preserve">TS5A3159ADBVR</t>
  </si>
  <si>
    <t xml:space="preserve">C128405</t>
  </si>
  <si>
    <t xml:space="preserve">2:1, 0,7 Ом</t>
  </si>
  <si>
    <t xml:space="preserve">Разъём A 2×12</t>
  </si>
  <si>
    <t xml:space="preserve">DS1024-2x12R2</t>
  </si>
  <si>
    <t xml:space="preserve">C49287176</t>
  </si>
  <si>
    <t xml:space="preserve">карточка LCSC</t>
  </si>
  <si>
    <t xml:space="preserve">16 сигналов, 4 GND, 2 VCC, CK, TRIG</t>
  </si>
  <si>
    <t xml:space="preserve">Трансиверы порта B и MIPI20</t>
  </si>
  <si>
    <t xml:space="preserve">SN74LXC1T45DBVR</t>
  </si>
  <si>
    <t xml:space="preserve">C4364198</t>
  </si>
  <si>
    <t xml:space="preserve">1,1–5,5 В, двунаправленный; 8 на порт B, 4 на SWD/JTAG</t>
  </si>
  <si>
    <t xml:space="preserve">Последовательная защита порта B</t>
  </si>
  <si>
    <t xml:space="preserve">CRCW0805150RFKEAHP</t>
  </si>
  <si>
    <t xml:space="preserve">0805</t>
  </si>
  <si>
    <t xml:space="preserve">C313835</t>
  </si>
  <si>
    <t xml:space="preserve">150 Ом, импульсный, 0,5 Вт</t>
  </si>
  <si>
    <t xml:space="preserve">Отвод на шину-ограничитель</t>
  </si>
  <si>
    <t xml:space="preserve">BAV99,215</t>
  </si>
  <si>
    <t xml:space="preserve">C2500</t>
  </si>
  <si>
    <t xml:space="preserve">два диода последовательно</t>
  </si>
  <si>
    <t xml:space="preserve">Активный шунт: ИОН</t>
  </si>
  <si>
    <t xml:space="preserve">TLVH431BIL3T</t>
  </si>
  <si>
    <t xml:space="preserve">C1852785</t>
  </si>
  <si>
    <t xml:space="preserve">регулируемый шунт от 1,24 В; порог шины 5,16 В</t>
  </si>
  <si>
    <t xml:space="preserve">Активный шунт: PNP</t>
  </si>
  <si>
    <t xml:space="preserve">BCP53-16,115</t>
  </si>
  <si>
    <t xml:space="preserve">SOT-223</t>
  </si>
  <si>
    <t xml:space="preserve">C85085</t>
  </si>
  <si>
    <t xml:space="preserve">80 В, 1 А</t>
  </si>
  <si>
    <t xml:space="preserve">ESD шины-ограничителя</t>
  </si>
  <si>
    <t xml:space="preserve">SMF5.0A</t>
  </si>
  <si>
    <t xml:space="preserve">SOD-123FL</t>
  </si>
  <si>
    <t xml:space="preserve">C151296</t>
  </si>
  <si>
    <t xml:space="preserve">VRWM 5 В, 200 Вт</t>
  </si>
  <si>
    <t xml:space="preserve">LDO VCCIO_B</t>
  </si>
  <si>
    <t xml:space="preserve">TLV75801PDBVR</t>
  </si>
  <si>
    <t xml:space="preserve">C2877852</t>
  </si>
  <si>
    <t xml:space="preserve">регулируемый 0,55–5,5 В, 500 мА; уровень порта B 1,1–4,7 В</t>
  </si>
  <si>
    <t xml:space="preserve">Ключи подтяжек порта B и VTref</t>
  </si>
  <si>
    <t xml:space="preserve">2 А, 80 мОм</t>
  </si>
  <si>
    <t xml:space="preserve">Разъём B 2×10</t>
  </si>
  <si>
    <t xml:space="preserve">гнездо угловое 2×10, шаг 2,54 мм; 8 сигналов, остальные GND</t>
  </si>
  <si>
    <t xml:space="preserve">Разъём MIPI20</t>
  </si>
  <si>
    <t xml:space="preserve">FTSH-110-01-L-DH-A</t>
  </si>
  <si>
    <t xml:space="preserve">Samtec</t>
  </si>
  <si>
    <t xml:space="preserve">SMD угловой 2×10, шаг 1,27 мм</t>
  </si>
  <si>
    <t xml:space="preserve">C21757842</t>
  </si>
  <si>
    <t xml:space="preserve">samtec.com</t>
  </si>
  <si>
    <t xml:space="preserve">CoreSight-20: SWD/JTAG и trace 4 бит; ключ на контакте 7 сверить по чертежу; код LCSC относится к варианту -TR (лента)</t>
  </si>
  <si>
    <t xml:space="preserve">Буфер trace</t>
  </si>
  <si>
    <t xml:space="preserve">SN74LXC8T245PWR</t>
  </si>
  <si>
    <t xml:space="preserve">C4363995</t>
  </si>
  <si>
    <t xml:space="preserve">8 бит, 1,1–5,5 В; TRACECLK и D0–D3</t>
  </si>
  <si>
    <t xml:space="preserve">nRESET цели</t>
  </si>
  <si>
    <t xml:space="preserve">2N7002</t>
  </si>
  <si>
    <t xml:space="preserve">Changjing (CJ)</t>
  </si>
  <si>
    <t xml:space="preserve">C8545</t>
  </si>
  <si>
    <t xml:space="preserve">открытый сток</t>
  </si>
  <si>
    <t xml:space="preserve">ESD линий MIPI20</t>
  </si>
  <si>
    <t xml:space="preserve">TPD4E1U06DBVR</t>
  </si>
  <si>
    <t xml:space="preserve">C124691</t>
  </si>
  <si>
    <t xml:space="preserve">4 канала, 0,8 пФ</t>
  </si>
  <si>
    <t xml:space="preserve">45 Видео, звук, ввод, радио</t>
  </si>
  <si>
    <t xml:space="preserve">ESD HDMI</t>
  </si>
  <si>
    <t xml:space="preserve">TPD12S016PWR</t>
  </si>
  <si>
    <t xml:space="preserve">C201665</t>
  </si>
  <si>
    <t xml:space="preserve">ESD, сдвиг уровней DDC/CEC, HPD, ключ 5 В</t>
  </si>
  <si>
    <t xml:space="preserve">Разъём HDMI A</t>
  </si>
  <si>
    <t xml:space="preserve">GT-HD002A-FNNG1</t>
  </si>
  <si>
    <t xml:space="preserve">G-Switch</t>
  </si>
  <si>
    <t xml:space="preserve">SMD mid-mount, 19 конт.</t>
  </si>
  <si>
    <t xml:space="preserve">C27636748</t>
  </si>
  <si>
    <t xml:space="preserve">утопление 0,8 мм</t>
  </si>
  <si>
    <t xml:space="preserve">Разъём шлейфа панели FPC 54</t>
  </si>
  <si>
    <t xml:space="preserve">FC-05B54P21H20</t>
  </si>
  <si>
    <t xml:space="preserve">BXCONN</t>
  </si>
  <si>
    <t xml:space="preserve">SMD, шаг 0,5 мм, высота 2,0 мм</t>
  </si>
  <si>
    <t xml:space="preserve">C23398826</t>
  </si>
  <si>
    <t xml:space="preserve">контакты сверху и снизу, откидной замок</t>
  </si>
  <si>
    <t xml:space="preserve">Драйвер подсветки</t>
  </si>
  <si>
    <t xml:space="preserve">TPS61169DCKR</t>
  </si>
  <si>
    <t xml:space="preserve">SC-70-5</t>
  </si>
  <si>
    <t xml:space="preserve">C71045</t>
  </si>
  <si>
    <t xml:space="preserve">буст для светодиодов до 38 В, ШИМ</t>
  </si>
  <si>
    <t xml:space="preserve">Диод подсветки</t>
  </si>
  <si>
    <t xml:space="preserve">B5819W</t>
  </si>
  <si>
    <t xml:space="preserve">MDD</t>
  </si>
  <si>
    <t xml:space="preserve">C64885</t>
  </si>
  <si>
    <t xml:space="preserve">Шоттки 40 В, 1 А</t>
  </si>
  <si>
    <t xml:space="preserve">Дроссель подсветки 4,7 мкГн</t>
  </si>
  <si>
    <t xml:space="preserve">SWPA4018S4R7MT</t>
  </si>
  <si>
    <t xml:space="preserve">SMD 4×4×1,8 мм</t>
  </si>
  <si>
    <t xml:space="preserve">C60117</t>
  </si>
  <si>
    <t xml:space="preserve">Isat 2,2 А</t>
  </si>
  <si>
    <t xml:space="preserve">Ключи питания панели и microSD</t>
  </si>
  <si>
    <t xml:space="preserve">Усилитель I²S</t>
  </si>
  <si>
    <t xml:space="preserve">MAX98357AETE+T</t>
  </si>
  <si>
    <t xml:space="preserve">Analog Devices (Maxim)</t>
  </si>
  <si>
    <t xml:space="preserve">TQFN-16 3×3 мм</t>
  </si>
  <si>
    <t xml:space="preserve">C910544</t>
  </si>
  <si>
    <t xml:space="preserve">класс D, 3,2 Вт на 4 Ом</t>
  </si>
  <si>
    <t xml:space="preserve">Микрофон PDM</t>
  </si>
  <si>
    <t xml:space="preserve">SPH0641LU4H-1</t>
  </si>
  <si>
    <t xml:space="preserve">Knowles (Syntiant)</t>
  </si>
  <si>
    <t xml:space="preserve">LGA-5 3,5×2,65 мм</t>
  </si>
  <si>
    <t xml:space="preserve">C2879853</t>
  </si>
  <si>
    <t xml:space="preserve">порт снизу, нужно отверстие в плате; плату с микрофоном не мыть</t>
  </si>
  <si>
    <t xml:space="preserve">Динамик</t>
  </si>
  <si>
    <t xml:space="preserve">GSPK2004PN-8R1W-L100</t>
  </si>
  <si>
    <t xml:space="preserve">INGHAi</t>
  </si>
  <si>
    <t xml:space="preserve">Ø20×3,8 мм, провода 100 мм</t>
  </si>
  <si>
    <t xml:space="preserve">C530544</t>
  </si>
  <si>
    <t xml:space="preserve">8 Ом, 1 Вт</t>
  </si>
  <si>
    <t xml:space="preserve">Драйвер вибромотора</t>
  </si>
  <si>
    <t xml:space="preserve">DRV2605LDGSR</t>
  </si>
  <si>
    <t xml:space="preserve">C527464</t>
  </si>
  <si>
    <t xml:space="preserve">LRA и ERM, I²C</t>
  </si>
  <si>
    <t xml:space="preserve">Вибромотор LRA</t>
  </si>
  <si>
    <t xml:space="preserve">0619</t>
  </si>
  <si>
    <t xml:space="preserve">AAC</t>
  </si>
  <si>
    <t xml:space="preserve">на проводах</t>
  </si>
  <si>
    <t xml:space="preserve">нет в каталоге LCSC</t>
  </si>
  <si>
    <t xml:space="preserve">линейный, ось X; аналог Vybronics VL120628H</t>
  </si>
  <si>
    <t xml:space="preserve">Колесо-энкодер с нажатием</t>
  </si>
  <si>
    <t xml:space="preserve">SIQ-02FVS3</t>
  </si>
  <si>
    <t xml:space="preserve">Mitsumi</t>
  </si>
  <si>
    <t xml:space="preserve">SMD</t>
  </si>
  <si>
    <t xml:space="preserve">C2925423</t>
  </si>
  <si>
    <t xml:space="preserve">колесо Ø14,5 мм, 15 фиксаций, кнопка нажатия</t>
  </si>
  <si>
    <t xml:space="preserve">Кнопка питания</t>
  </si>
  <si>
    <t xml:space="preserve">SKRTLAE010</t>
  </si>
  <si>
    <t xml:space="preserve">Alps Alpine</t>
  </si>
  <si>
    <t xml:space="preserve">SMD 4,5×3,4 мм, боковое нажатие</t>
  </si>
  <si>
    <t xml:space="preserve">C110293</t>
  </si>
  <si>
    <t xml:space="preserve">вход QON зарядного устройства BQ25798</t>
  </si>
  <si>
    <t xml:space="preserve">Кнопки ×11</t>
  </si>
  <si>
    <t xml:space="preserve">купола на контактные площадки</t>
  </si>
  <si>
    <t xml:space="preserve">комплект силиконовых куполов на 11 кнопок (крестовина 4, F1–F4, Fn, Меню, Назад), подходят купола от RG35XX Plus</t>
  </si>
  <si>
    <t xml:space="preserve">IMU</t>
  </si>
  <si>
    <t xml:space="preserve">LSM6DS3TR-C</t>
  </si>
  <si>
    <t xml:space="preserve">LGA-14 2,5×3 мм</t>
  </si>
  <si>
    <t xml:space="preserve">C967633</t>
  </si>
  <si>
    <t xml:space="preserve">акселерометр и гироскоп, I²C/SPI</t>
  </si>
  <si>
    <t xml:space="preserve">ИК-приёмник 38 кГц</t>
  </si>
  <si>
    <t xml:space="preserve">TSOP75238TR</t>
  </si>
  <si>
    <t xml:space="preserve">SMD 6,8×3 мм, боковой обзор</t>
  </si>
  <si>
    <t xml:space="preserve">C511498</t>
  </si>
  <si>
    <t xml:space="preserve">суффикс TR: вид сбоку</t>
  </si>
  <si>
    <t xml:space="preserve">ИК-передатчик 940 нм</t>
  </si>
  <si>
    <t xml:space="preserve">VSMB2943SLX01</t>
  </si>
  <si>
    <t xml:space="preserve">SMD, боковое излучение</t>
  </si>
  <si>
    <t xml:space="preserve">C511094</t>
  </si>
  <si>
    <t xml:space="preserve">до 100 мА, угол 25°</t>
  </si>
  <si>
    <t xml:space="preserve">Ключ ИК-светодиода</t>
  </si>
  <si>
    <t xml:space="preserve">AO3400A</t>
  </si>
  <si>
    <t xml:space="preserve">C20917</t>
  </si>
  <si>
    <t xml:space="preserve">N-MOSFET 30 В</t>
  </si>
  <si>
    <t xml:space="preserve">Wi-Fi 6, BLE, 802.15.4</t>
  </si>
  <si>
    <t xml:space="preserve">ESP32-C5-MINI-1-N4</t>
  </si>
  <si>
    <t xml:space="preserve">Espressif</t>
  </si>
  <si>
    <t xml:space="preserve">модуль 15,4×21,3×2,4 мм, LGA</t>
  </si>
  <si>
    <t xml:space="preserve">C50346179</t>
  </si>
  <si>
    <t xml:space="preserve">espressif.com</t>
  </si>
  <si>
    <t xml:space="preserve">2,4 и 5 ГГц, флеш 4 МБ</t>
  </si>
  <si>
    <t xml:space="preserve">Слот microSD</t>
  </si>
  <si>
    <t xml:space="preserve">DM3AT-SF-PEJM5</t>
  </si>
  <si>
    <t xml:space="preserve">Hirose</t>
  </si>
  <si>
    <t xml:space="preserve">SMD, высота 1,68 мм</t>
  </si>
  <si>
    <t xml:space="preserve">C114218</t>
  </si>
  <si>
    <t xml:space="preserve">push-push, детект карты</t>
  </si>
  <si>
    <t xml:space="preserve">Разъём QWIIC</t>
  </si>
  <si>
    <t xml:space="preserve">SM04B-SRSS-TB(LF)(SN)</t>
  </si>
  <si>
    <t xml:space="preserve">SMD угловой, шаг 1 мм</t>
  </si>
  <si>
    <t xml:space="preserve">C160404</t>
  </si>
  <si>
    <t xml:space="preserve">I²C наружу; ESD на TPD2E2U06 (блок 42)</t>
  </si>
  <si>
    <t xml:space="preserve">M Стык мезонина</t>
  </si>
  <si>
    <t xml:space="preserve">Гнездо мезонина 2×40</t>
  </si>
  <si>
    <t xml:space="preserve">61082-082402LF</t>
  </si>
  <si>
    <t xml:space="preserve">Amphenol ICC</t>
  </si>
  <si>
    <t xml:space="preserve">SMD, шаг 0,8 мм</t>
  </si>
  <si>
    <t xml:space="preserve">C464636</t>
  </si>
  <si>
    <t xml:space="preserve">BergStak, стек 9 мм со штырём 61083-081402LF</t>
  </si>
  <si>
    <t xml:space="preserve">Стойки M2.5, высота 9 мм</t>
  </si>
  <si>
    <t xml:space="preserve">9774090151R</t>
  </si>
  <si>
    <t xml:space="preserve">Würth Elektronik</t>
  </si>
  <si>
    <t xml:space="preserve">SMD, резьба M2.5 внутренняя</t>
  </si>
  <si>
    <t xml:space="preserve">C25592731</t>
  </si>
  <si>
    <t xml:space="preserve">we-online.com</t>
  </si>
  <si>
    <t xml:space="preserve">стальная стойка, крепление модуля аналога, 4 точки</t>
  </si>
  <si>
    <t xml:space="preserve">Винты M2.5×5</t>
  </si>
  <si>
    <t xml:space="preserve">к стойкам 9774090151R</t>
  </si>
  <si>
    <t xml:space="preserve">46 Аналоговый модуль</t>
  </si>
  <si>
    <t xml:space="preserve">АЦП осциллографа</t>
  </si>
  <si>
    <t xml:space="preserve">HMCAD1511TR</t>
  </si>
  <si>
    <t xml:space="preserve">QFN-48 7×7 мм</t>
  </si>
  <si>
    <t xml:space="preserve">C661813</t>
  </si>
  <si>
    <t xml:space="preserve">8 бит, 1 ГВыб/с, 4 канала; MSL 2A</t>
  </si>
  <si>
    <t xml:space="preserve">Синтезатор такта</t>
  </si>
  <si>
    <t xml:space="preserve">LMX2572RHAR</t>
  </si>
  <si>
    <t xml:space="preserve">VQFN-40 6×6 мм</t>
  </si>
  <si>
    <t xml:space="preserve">C2665711</t>
  </si>
  <si>
    <t xml:space="preserve">до 6,4 ГГц; MSL 3</t>
  </si>
  <si>
    <t xml:space="preserve">LDO синтезатора 3,3 В</t>
  </si>
  <si>
    <t xml:space="preserve">TPS7A2033PDBVR</t>
  </si>
  <si>
    <t xml:space="preserve">C2862740</t>
  </si>
  <si>
    <t xml:space="preserve">300 мА, шум 10 мкВ</t>
  </si>
  <si>
    <t xml:space="preserve">ЦАП генератора</t>
  </si>
  <si>
    <t xml:space="preserve">DAC904E/2K5</t>
  </si>
  <si>
    <t xml:space="preserve">TSSOP-28</t>
  </si>
  <si>
    <t xml:space="preserve">C2679883</t>
  </si>
  <si>
    <t xml:space="preserve">14 бит, 165 МВыб/с</t>
  </si>
  <si>
    <t xml:space="preserve">Выходной усилитель генератора</t>
  </si>
  <si>
    <t xml:space="preserve">OPA2673IRGVT</t>
  </si>
  <si>
    <t xml:space="preserve">VQFN-16 4×4 мм</t>
  </si>
  <si>
    <t xml:space="preserve">C2864373</t>
  </si>
  <si>
    <t xml:space="preserve">сдвоенный, до 700 мА, питание ±6 В</t>
  </si>
  <si>
    <t xml:space="preserve">Защита выхода GEN: TVS</t>
  </si>
  <si>
    <t xml:space="preserve">SMBJ6.0CA</t>
  </si>
  <si>
    <t xml:space="preserve">C78812</t>
  </si>
  <si>
    <t xml:space="preserve">двунаправленный, VRWM 6 В</t>
  </si>
  <si>
    <t xml:space="preserve">Защита выхода GEN: PTC</t>
  </si>
  <si>
    <t xml:space="preserve">самовосстанавливающийся предохранитель</t>
  </si>
  <si>
    <t xml:space="preserve">Защита выхода GEN: диоды</t>
  </si>
  <si>
    <t xml:space="preserve">1N4148WS</t>
  </si>
  <si>
    <t xml:space="preserve">SOD-323</t>
  </si>
  <si>
    <t xml:space="preserve">C118873</t>
  </si>
  <si>
    <t xml:space="preserve">75 В, 150 мА</t>
  </si>
  <si>
    <t xml:space="preserve">Клампы GEN и DMM</t>
  </si>
  <si>
    <t xml:space="preserve">JFET входного буфера</t>
  </si>
  <si>
    <t xml:space="preserve">2SK3557-7-TB-E</t>
  </si>
  <si>
    <t xml:space="preserve">CP-3 (SOT-23)</t>
  </si>
  <si>
    <t xml:space="preserve">C604972</t>
  </si>
  <si>
    <t xml:space="preserve">повторитель и источник тока, 2 на канал; выводы 1 S, 2 D, 3 G</t>
  </si>
  <si>
    <t xml:space="preserve">Эмиттерный повторитель</t>
  </si>
  <si>
    <t xml:space="preserve">BFR92PE6327</t>
  </si>
  <si>
    <t xml:space="preserve">C273250</t>
  </si>
  <si>
    <t xml:space="preserve">NPN, fT 5 ГГц</t>
  </si>
  <si>
    <t xml:space="preserve">ОУ петли буфера</t>
  </si>
  <si>
    <t xml:space="preserve">LMV842MMX/NOPB</t>
  </si>
  <si>
    <t xml:space="preserve">C2057776</t>
  </si>
  <si>
    <t xml:space="preserve">сдвоенный КМОП, Ib 0,3 пА, до 12 В</t>
  </si>
  <si>
    <t xml:space="preserve">Ключи ступеней усиления</t>
  </si>
  <si>
    <t xml:space="preserve">TMUX6111PWR</t>
  </si>
  <si>
    <t xml:space="preserve">TSSOP-16</t>
  </si>
  <si>
    <t xml:space="preserve">C2673386</t>
  </si>
  <si>
    <t xml:space="preserve">4 ключа, ±16,5 В</t>
  </si>
  <si>
    <t xml:space="preserve">Драйвер АЦП</t>
  </si>
  <si>
    <t xml:space="preserve">THS4541IRGTT</t>
  </si>
  <si>
    <t xml:space="preserve">VQFN-16 3×3 мм</t>
  </si>
  <si>
    <t xml:space="preserve">C2058382</t>
  </si>
  <si>
    <t xml:space="preserve">полностью дифференциальный, 850 МГц</t>
  </si>
  <si>
    <t xml:space="preserve">ЦАП смещения каналов</t>
  </si>
  <si>
    <t xml:space="preserve">4 канала, 12 бит, I²C; адрес задаётся до монтажа</t>
  </si>
  <si>
    <t xml:space="preserve">АЦП мультиметра</t>
  </si>
  <si>
    <t xml:space="preserve">ADS1220IPWR</t>
  </si>
  <si>
    <t xml:space="preserve">C48263</t>
  </si>
  <si>
    <t xml:space="preserve">24 бит, ΣΔ</t>
  </si>
  <si>
    <t xml:space="preserve">Опорное напряжение мультиметра</t>
  </si>
  <si>
    <t xml:space="preserve">REF5025AIDR</t>
  </si>
  <si>
    <t xml:space="preserve">C11341</t>
  </si>
  <si>
    <t xml:space="preserve">2,5 В, ±0,1 %, 8 ppm/°C</t>
  </si>
  <si>
    <t xml:space="preserve">Источник ±6 В</t>
  </si>
  <si>
    <t xml:space="preserve">TPS65131RGER</t>
  </si>
  <si>
    <t xml:space="preserve">VQFN-24 4×4 мм</t>
  </si>
  <si>
    <t xml:space="preserve">C87663</t>
  </si>
  <si>
    <t xml:space="preserve">буст и инвертор</t>
  </si>
  <si>
    <t xml:space="preserve">Дроссели ±6 В 4,7 мкГн</t>
  </si>
  <si>
    <t xml:space="preserve">B82462G4472M000</t>
  </si>
  <si>
    <t xml:space="preserve">SMD 6,3×6,3×3 мм</t>
  </si>
  <si>
    <t xml:space="preserve">C2041780</t>
  </si>
  <si>
    <t xml:space="preserve">Isat 1,8 А, DCR 40 мОм</t>
  </si>
  <si>
    <t xml:space="preserve">Диоды ±6 В</t>
  </si>
  <si>
    <t xml:space="preserve">MBRM120LT1G</t>
  </si>
  <si>
    <t xml:space="preserve">PowerMite (DO-216AA)</t>
  </si>
  <si>
    <t xml:space="preserve">C32150</t>
  </si>
  <si>
    <t xml:space="preserve">Шоттки 20 В, 1 А</t>
  </si>
  <si>
    <t xml:space="preserve">LDO +5 В</t>
  </si>
  <si>
    <t xml:space="preserve">TPS7A4901DGNR</t>
  </si>
  <si>
    <t xml:space="preserve">HVSSOP-8</t>
  </si>
  <si>
    <t xml:space="preserve">C16430</t>
  </si>
  <si>
    <t xml:space="preserve">малошумящий, 150 мА</t>
  </si>
  <si>
    <t xml:space="preserve">LDO −5 В</t>
  </si>
  <si>
    <t xml:space="preserve">TPS7A3001DGNR</t>
  </si>
  <si>
    <t xml:space="preserve">C33835</t>
  </si>
  <si>
    <t xml:space="preserve">отрицательный, малошумящий, 200 мА</t>
  </si>
  <si>
    <t xml:space="preserve">Buck 2,1 В</t>
  </si>
  <si>
    <t xml:space="preserve">TPS62A01APDDCR</t>
  </si>
  <si>
    <t xml:space="preserve">C41730179</t>
  </si>
  <si>
    <t xml:space="preserve">1 А, принудительный ШИМ, PG</t>
  </si>
  <si>
    <t xml:space="preserve">Дроссель buck 1 мкГн</t>
  </si>
  <si>
    <t xml:space="preserve">DFE201610E-1R0M=P2</t>
  </si>
  <si>
    <t xml:space="preserve">C161082</t>
  </si>
  <si>
    <t xml:space="preserve">Isat 3,6 А</t>
  </si>
  <si>
    <t xml:space="preserve">LDO 1,8 В AVDD</t>
  </si>
  <si>
    <t xml:space="preserve">TPS7A9401DSCR</t>
  </si>
  <si>
    <t xml:space="preserve">WSON-10 3×3 мм</t>
  </si>
  <si>
    <t xml:space="preserve">C5220127</t>
  </si>
  <si>
    <t xml:space="preserve">1 А, шум 0,46 мкВ</t>
  </si>
  <si>
    <t xml:space="preserve">LDO 1,8 В DVDD</t>
  </si>
  <si>
    <t xml:space="preserve">TPS7A2018PDBVR</t>
  </si>
  <si>
    <t xml:space="preserve">C963430</t>
  </si>
  <si>
    <t xml:space="preserve">300 мА</t>
  </si>
  <si>
    <t xml:space="preserve">Реле</t>
  </si>
  <si>
    <t xml:space="preserve">HFD4/3-LSR</t>
  </si>
  <si>
    <t xml:space="preserve">Hongfa</t>
  </si>
  <si>
    <t xml:space="preserve">SMD 10×6,5×5,65 мм</t>
  </si>
  <si>
    <t xml:space="preserve">C19078074</t>
  </si>
  <si>
    <t xml:space="preserve">бистабильное, одна обмотка 3 В, 2 переключающих контакта; ÷1/÷10 ×2, AC/DC ×2, GEN, DMM</t>
  </si>
  <si>
    <t xml:space="preserve">H-мост реле</t>
  </si>
  <si>
    <t xml:space="preserve">DRV8833PWR</t>
  </si>
  <si>
    <t xml:space="preserve">C544801</t>
  </si>
  <si>
    <t xml:space="preserve">2 моста в корпусе</t>
  </si>
  <si>
    <t xml:space="preserve">EEPROM калибровки</t>
  </si>
  <si>
    <t xml:space="preserve">24LC256T-I/SN</t>
  </si>
  <si>
    <t xml:space="preserve">C5458</t>
  </si>
  <si>
    <t xml:space="preserve">32 КБ, I²C</t>
  </si>
  <si>
    <t xml:space="preserve">Буфер I²C</t>
  </si>
  <si>
    <t xml:space="preserve">TCA9517DR</t>
  </si>
  <si>
    <t xml:space="preserve">C182421</t>
  </si>
  <si>
    <t xml:space="preserve">буфер шины I²C модуля</t>
  </si>
  <si>
    <t xml:space="preserve">Буфер SPI</t>
  </si>
  <si>
    <t xml:space="preserve">SN74LVC125APWR</t>
  </si>
  <si>
    <t xml:space="preserve">TSSOP-14</t>
  </si>
  <si>
    <t xml:space="preserve">C7813</t>
  </si>
  <si>
    <t xml:space="preserve">4 буфера с OE; 5 линий SPI</t>
  </si>
  <si>
    <t xml:space="preserve">Расширители модуля</t>
  </si>
  <si>
    <t xml:space="preserve">TCA9555PWR</t>
  </si>
  <si>
    <t xml:space="preserve">C465732</t>
  </si>
  <si>
    <t xml:space="preserve">I²C, 16 линий; на модуле 17 линий управления</t>
  </si>
  <si>
    <t xml:space="preserve">Подстройка делителей</t>
  </si>
  <si>
    <t xml:space="preserve">TZC3Z060A110R00</t>
  </si>
  <si>
    <t xml:space="preserve">SMD 4,5×3,2 мм</t>
  </si>
  <si>
    <t xml:space="preserve">C98107</t>
  </si>
  <si>
    <t xml:space="preserve">подстроечный конденсатор до 6 пФ</t>
  </si>
  <si>
    <t xml:space="preserve">Защита входа DMM: PTC</t>
  </si>
  <si>
    <t xml:space="preserve">PTC 50 мА</t>
  </si>
  <si>
    <t xml:space="preserve">Защита входа DMM: TVS</t>
  </si>
  <si>
    <t xml:space="preserve">Защита входа DMM: резистор</t>
  </si>
  <si>
    <t xml:space="preserve">10 кОм</t>
  </si>
  <si>
    <t xml:space="preserve">Экран входной части</t>
  </si>
  <si>
    <t xml:space="preserve">экран над входным трактом осциллографа</t>
  </si>
  <si>
    <t xml:space="preserve">Термопрокладка АЦП</t>
  </si>
  <si>
    <t xml:space="preserve">отвод тепла от HMCAD1511</t>
  </si>
  <si>
    <t xml:space="preserve">Разъёмы SMA торцевые</t>
  </si>
  <si>
    <t xml:space="preserve">SMA-KE-L12.4</t>
  </si>
  <si>
    <t xml:space="preserve">Lineyi</t>
  </si>
  <si>
    <t xml:space="preserve">торцевой</t>
  </si>
  <si>
    <t xml:space="preserve">CH1, CH2, GEN; толщину платы сверить по чертежу; запасной вариант Molex 73251-1150</t>
  </si>
  <si>
    <t xml:space="preserve">Штырь мезонина 2×40</t>
  </si>
  <si>
    <t xml:space="preserve">61083-081402LF</t>
  </si>
  <si>
    <t xml:space="preserve">C464611</t>
  </si>
  <si>
    <t xml:space="preserve">BergStak, стек 9 мм с гнездом 61082-082402LF</t>
  </si>
  <si>
    <t xml:space="preserve">Модуль ПЛИС</t>
  </si>
  <si>
    <t xml:space="preserve">Colorlight i9+</t>
  </si>
  <si>
    <t xml:space="preserve">Colorlight</t>
  </si>
  <si>
    <t xml:space="preserve">SO-DIMM, 200 конт.</t>
  </si>
  <si>
    <t xml:space="preserve">ПЛИС Xilinx XC7A50T (Artix-7)</t>
  </si>
  <si>
    <t xml:space="preserve">Гнездо модуля SO-DIMM</t>
  </si>
  <si>
    <t xml:space="preserve">1473005-4</t>
  </si>
  <si>
    <t xml:space="preserve">TE Connectivity</t>
  </si>
  <si>
    <t xml:space="preserve">SMD угловое, 200 конт., шаг 0,6 мм</t>
  </si>
  <si>
    <t xml:space="preserve">C428482</t>
  </si>
  <si>
    <t xml:space="preserve">DDR2 SO-DIMM, высота модуля 5,2 мм, с бобышками</t>
  </si>
  <si>
    <t xml:space="preserve">Контакты JTAG J2–J5 модуля</t>
  </si>
  <si>
    <t xml:space="preserve">тип контактов по чертежу гнезда 1473005-4; на плате есть площадки под pogo</t>
  </si>
  <si>
    <t xml:space="preserve">Дисплей 3,5" 640×480</t>
  </si>
  <si>
    <t xml:space="preserve">WL-355608</t>
  </si>
  <si>
    <t xml:space="preserve">шлейф FPC 54 конт.</t>
  </si>
  <si>
    <t xml:space="preserve">контроллер NV3052C; распиновку шлейфа сверить с вариантом панели (A8, A9)</t>
  </si>
  <si>
    <t xml:space="preserve">Аккумулятор Li-pol 3,7 В</t>
  </si>
  <si>
    <t xml:space="preserve">9,0×40×70 мм</t>
  </si>
  <si>
    <t xml:space="preserve">типоразмер 904070 (LP904070), Li-pol 1S, 2800 мА·ч; плата защиты на ток разряда ≥ 2,8 А; производитель любой; провода к разъёму XH-3</t>
  </si>
  <si>
    <t xml:space="preserve">Термистор аккумулятора</t>
  </si>
  <si>
    <t xml:space="preserve">на проводе</t>
  </si>
  <si>
    <t xml:space="preserve">NTC 10 кОм, B 3435, к входу TS зарядного устройства BQ25798</t>
  </si>
  <si>
    <t xml:space="preserve">все</t>
  </si>
  <si>
    <t xml:space="preserve">C 100 нФ X7R</t>
  </si>
  <si>
    <t xml:space="preserve">~150</t>
  </si>
  <si>
    <t xml:space="preserve">оценка по C14663, 31.10.2026</t>
  </si>
  <si>
    <t xml:space="preserve">развязка; точный ряд после схемы</t>
  </si>
  <si>
    <t xml:space="preserve">42</t>
  </si>
  <si>
    <t xml:space="preserve">0402</t>
  </si>
  <si>
    <t xml:space="preserve">оценка по C1525, 31.10.2026</t>
  </si>
  <si>
    <t xml:space="preserve">PMID, SYS, VBUS у BQ25798 (SLUSDV2C, с. 139); точный ряд после схемы</t>
  </si>
  <si>
    <t xml:space="preserve">C 1; 2,2; 4,7 мкФ X5R/X7R</t>
  </si>
  <si>
    <t xml:space="preserve">0603/0805</t>
  </si>
  <si>
    <t xml:space="preserve">~45</t>
  </si>
  <si>
    <t xml:space="preserve">оценка по C15849, C69335, 31.10.2026</t>
  </si>
  <si>
    <t xml:space="preserve">точный ряд после схемы</t>
  </si>
  <si>
    <t xml:space="preserve">C 10 и 22 мкФ X5R, 10–25 В</t>
  </si>
  <si>
    <t xml:space="preserve">~35</t>
  </si>
  <si>
    <t xml:space="preserve">оценка по C15850, C45783, 31.10.2026</t>
  </si>
  <si>
    <t xml:space="preserve">42, 46</t>
  </si>
  <si>
    <t xml:space="preserve">C 4,7 и 10 мкФ 50 В X7R</t>
  </si>
  <si>
    <t xml:space="preserve">~8</t>
  </si>
  <si>
    <t xml:space="preserve">оценка по C89632, 31.10.2026</t>
  </si>
  <si>
    <t xml:space="preserve">VBUS, PPHV, PMID, входы ±6 В; точный ряд после схемы</t>
  </si>
  <si>
    <t xml:space="preserve">C C0G 1 пФ…10 нФ</t>
  </si>
  <si>
    <t xml:space="preserve">~60</t>
  </si>
  <si>
    <t xml:space="preserve">оценка по C106246, C163508, 31.10.2026</t>
  </si>
  <si>
    <t xml:space="preserve">кварцы, 330 пФ на CC, петлевой фильтр, LC-фильтр 7-го порядка, AC-связь, C_FF TPS61023; точный ряд после схемы</t>
  </si>
  <si>
    <t xml:space="preserve">44</t>
  </si>
  <si>
    <t xml:space="preserve">C C0G 2,2 пФ ±0,1 пФ 50 В</t>
  </si>
  <si>
    <t xml:space="preserve">CL10C2R2BB8NNNC</t>
  </si>
  <si>
    <t xml:space="preserve">Samsung Electro-Mechanics</t>
  </si>
  <si>
    <t xml:space="preserve">C307505</t>
  </si>
  <si>
    <t xml:space="preserve">компенсация делителей порта A; номинал 2,2–3,3 пФ по настройке делителя</t>
  </si>
  <si>
    <t xml:space="preserve">R 1 %, общий ряд</t>
  </si>
  <si>
    <t xml:space="preserve">~210</t>
  </si>
  <si>
    <t xml:space="preserve">оценка по C25804, 31.10.2026</t>
  </si>
  <si>
    <t xml:space="preserve">подтяжки, FB, 33 Ом, 0 Ом, 100 Ом LVDS-терминаторы ×10, делители порта A 174 кОм и 75,0 кОм; точный ряд после схемы</t>
  </si>
  <si>
    <t xml:space="preserve">R 0,1 %, 25 ppm</t>
  </si>
  <si>
    <t xml:space="preserve">оценка по C122970, 31.10.2026</t>
  </si>
  <si>
    <t xml:space="preserve">делитель 1,23 В, FB/CC лаб. БП, R_SET ЦАП, делители модуля, эталоны DMM; точный ряд после схемы</t>
  </si>
  <si>
    <t xml:space="preserve">42, 43, 44</t>
  </si>
  <si>
    <t xml:space="preserve">R особые: 6,8 Ом 2512, 49,9 Ом 2512, 100 Ом BATP</t>
  </si>
  <si>
    <t xml:space="preserve">0805/1206/2512</t>
  </si>
  <si>
    <t xml:space="preserve">~6</t>
  </si>
  <si>
    <t xml:space="preserve">оценка по C2960769, 31.10.2026</t>
  </si>
  <si>
    <t xml:space="preserve">45</t>
  </si>
  <si>
    <t xml:space="preserve">PTC и 10 Ом на 3V3 QWIIC</t>
  </si>
  <si>
    <t xml:space="preserve">оценка по C269104, C25804, 31.10.2026</t>
  </si>
  <si>
    <t xml:space="preserve">защита питания разъёма QWIIC</t>
  </si>
  <si>
    <t xml:space="preserve">46</t>
  </si>
  <si>
    <t xml:space="preserve">L LQW18AN и ферриты</t>
  </si>
  <si>
    <t xml:space="preserve">~18</t>
  </si>
  <si>
    <t xml:space="preserve">оценка по C86131, C1002, 31.10.2026</t>
  </si>
  <si>
    <t xml:space="preserve">LQW18AN…G ±2 % (Murata) в LC-фильтре генератора; точный ряд после схемы</t>
  </si>
  <si>
    <t xml:space="preserve">41, 43</t>
  </si>
  <si>
    <t xml:space="preserve">Светодиоды</t>
  </si>
  <si>
    <t xml:space="preserve">~5</t>
  </si>
  <si>
    <t xml:space="preserve">оценка по C2286, 31.10.2026</t>
  </si>
  <si>
    <t xml:space="preserve">STAT, ARM, питание</t>
  </si>
  <si>
    <t xml:space="preserve">Лист</t>
  </si>
  <si>
    <t xml:space="preserve">Позиций</t>
  </si>
  <si>
    <t xml:space="preserve">С ценой</t>
  </si>
  <si>
    <t xml:space="preserve">Без цены</t>
  </si>
  <si>
    <t xml:space="preserve">Сумма, ₽</t>
  </si>
  <si>
    <t xml:space="preserve">Материнка</t>
  </si>
  <si>
    <t xml:space="preserve">Аналоговый модуль</t>
  </si>
  <si>
    <t xml:space="preserve">Модули и механика</t>
  </si>
  <si>
    <t xml:space="preserve">Пассив</t>
  </si>
  <si>
    <t xml:space="preserve">Итого на прибор</t>
  </si>
  <si>
    <t xml:space="preserve">Курс ЦБ РФ на 31.10.2026, ₽ за $</t>
  </si>
  <si>
    <t xml:space="preserve">Пункт</t>
  </si>
  <si>
    <t xml:space="preserve">Текст</t>
  </si>
  <si>
    <t xml:space="preserve">Что это</t>
  </si>
  <si>
    <t xml:space="preserve">Перечень компонентов (BOM) прибора Fabbit для первой ревизии плат (rev A).</t>
  </si>
  <si>
    <t xml:space="preserve">Статус</t>
  </si>
  <si>
    <t xml:space="preserve">Выбор компонентов, до схемы. MPN, корпуса и количества могут измениться при разработке схемы.</t>
  </si>
  <si>
    <t xml:space="preserve">Состав</t>
  </si>
  <si>
    <t xml:space="preserve">Материнка: супервизор CH32H417, USB-C PD и питание, лабораторный БП и измерения, логический анализатор и MIPI20, видео, звук, ввод, радио, стык мезонина. Аналоговый модуль на мезонине: осциллограф, генератор, мультиметр. Модули и механика: модуль ПЛИС, гнездо SO-DIMM, дисплей, аккумулятор.</t>
  </si>
  <si>
    <t xml:space="preserve">Раздел схемы прибора: 41 MCU и тактирование; 42 USB-C, PD, питание; 43 лабораторный БП и измерения; 44 логический анализатор и MIPI20; 45 видео, звук, ввод, радио; M стык мезонина; 46 аналоговый модуль. В листе «Пассив» указаны номера разделов, «все»: детали во всех разделах.</t>
  </si>
  <si>
    <t xml:space="preserve">Число деталей на один прибор, без запаса на монтаж. Для пассива указано приблизительно (~).</t>
  </si>
  <si>
    <t xml:space="preserve">Позиция нужна, конкретная деталь выбирается при разработке схемы, платы или корпуса.</t>
  </si>
  <si>
    <t xml:space="preserve">Справочный код детали в каталоге LCSC, ссылка ведёт на карточку детали. Код без ссылки: карточки на сайте LCSC нет. Пусто: этого MPN в каталоге нет или MPN не выбран. Если код относится к другому варианту упаковки, это сказано в примечании.</t>
  </si>
  <si>
    <t xml:space="preserve">Ссылка на даташит производителя или его копию в каталоге LCSC. «Карточка LCSC»: даташита в каталоге нет, ссылка ведёт на карточку детали. Пусто: MPN не выбран или открытой ссылки на даташит нет.</t>
  </si>
  <si>
    <t xml:space="preserve">Сводка групп номиналов, около 595 деталей и 100 номиналов на прибор. Точный ряд после схемы.</t>
  </si>
  <si>
    <t xml:space="preserve">Проверка</t>
  </si>
  <si>
    <t xml:space="preserve">Каждая деталь проверяется по даташиту производителя на этапе схемы: hardware/&lt;плата&gt;/VERIFY.md (пины, футпринт, режимы).</t>
  </si>
  <si>
    <t xml:space="preserve">Цена LCSC в долларах США на 31.10.2026, без доставки, пошлины и монтажа. Берётся ступень прайса LCSC под заказ на один прибор: количество на прибор, но не меньше минимального заказа LCSC. Одинаковый код на нескольких строках считается одним заказом. Запас на монтаж не входит.</t>
  </si>
  <si>
    <t xml:space="preserve">«LCSC»: карточка детали на lcsc.com. «Каталог JLCPCB»: у кода нет карточки на LCSC, цена из каталога деталей JLCPCB. «Оценка по C…»: в листе «Пассив» MPN ещё не выбран, цена взята по типовой детали той же группы с указанным кодом LCSC. «MPN не выбран» и «нет в каталоге LCSC»: цена не указана, позиция покупается у другого поставщика.</t>
  </si>
  <si>
    <t xml:space="preserve">Стоимость</t>
  </si>
  <si>
    <t xml:space="preserve">Лист «Стоимость» суммирует колонку «Сумма, $» по листам и пересчитывает итог в рубли по курсу ЦБ РФ. Позиции без цены в сумму не входят, их число в колонке «Без цены». Склад LCSC меняется: часть деталей на дату цены была с нулевым складом.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</si>
</sst>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#,##0.00"/>
    <numFmt numFmtId="167" formatCode="#,##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u val="single"/>
      <sz val="11"/>
      <color rgb="FF0563C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4EE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DE4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49363240.html" TargetMode="External"/><Relationship Id="rId2" Type="http://schemas.openxmlformats.org/officeDocument/2006/relationships/hyperlink" Target="https://www.wch-ic.com/downloads/CH32H417DS0_PDF.html" TargetMode="External"/><Relationship Id="rId3" Type="http://schemas.openxmlformats.org/officeDocument/2006/relationships/hyperlink" Target="https://www.lcsc.com/product-detail/C9006.html" TargetMode="External"/><Relationship Id="rId4" Type="http://schemas.openxmlformats.org/officeDocument/2006/relationships/hyperlink" Target="https://www.lcsc.com/datasheet/lcsc_datasheet_2403291504_YXC-Crystal-Oscillators-X322525MOB4SI_C9006.pdf" TargetMode="External"/><Relationship Id="rId5" Type="http://schemas.openxmlformats.org/officeDocument/2006/relationships/hyperlink" Target="https://www.lcsc.com/product-detail/C16320.html" TargetMode="External"/><Relationship Id="rId6" Type="http://schemas.openxmlformats.org/officeDocument/2006/relationships/hyperlink" Target="https://www.lcsc.com/datasheet/lcsc_datasheet_1810101410_Seiko-Epson-Q13MC30610003_C16320.pdf" TargetMode="External"/><Relationship Id="rId7" Type="http://schemas.openxmlformats.org/officeDocument/2006/relationships/hyperlink" Target="https://www.lcsc.com/product-detail/C141836.html" TargetMode="External"/><Relationship Id="rId8" Type="http://schemas.openxmlformats.org/officeDocument/2006/relationships/hyperlink" Target="https://www.lcsc.com/datasheet/lcsc_datasheet_1809251629_Texas-Instruments-TLV62569DBVR_C141836.pdf" TargetMode="External"/><Relationship Id="rId9" Type="http://schemas.openxmlformats.org/officeDocument/2006/relationships/hyperlink" Target="https://www.lcsc.com/datasheet/lcsc_datasheet_2310251551_Sunlord-SWPA3015S2R2MT_C43389.pdf" TargetMode="External"/><Relationship Id="rId10" Type="http://schemas.openxmlformats.org/officeDocument/2006/relationships/hyperlink" Target="https://www.lcsc.com/product-detail/C97521.html" TargetMode="External"/><Relationship Id="rId11" Type="http://schemas.openxmlformats.org/officeDocument/2006/relationships/hyperlink" Target="https://www.lcsc.com/datasheet/lcsc_datasheet_1811142111_Winbond-Elec-W25Q128JVSIQ_C97521.pdf" TargetMode="External"/><Relationship Id="rId12" Type="http://schemas.openxmlformats.org/officeDocument/2006/relationships/hyperlink" Target="https://www.lcsc.com/product-detail/C19674258.html" TargetMode="External"/><Relationship Id="rId13" Type="http://schemas.openxmlformats.org/officeDocument/2006/relationships/hyperlink" Target="https://wmsc.lcsc.com/wmsc/upload/file/pdf/v2/lcsc/2312141508_HCI-8132S-25-000MQ33DTL_C19674258.pdf" TargetMode="External"/><Relationship Id="rId14" Type="http://schemas.openxmlformats.org/officeDocument/2006/relationships/hyperlink" Target="https://www.lcsc.com/product-detail/C81934.html" TargetMode="External"/><Relationship Id="rId15" Type="http://schemas.openxmlformats.org/officeDocument/2006/relationships/hyperlink" Target="https://www.lcsc.com/datasheet/lcsc_datasheet_2304140030_Texas-Instruments-SN74LVC1GU04DBVR_C81934.pdf" TargetMode="External"/><Relationship Id="rId16" Type="http://schemas.openxmlformats.org/officeDocument/2006/relationships/hyperlink" Target="https://www.lcsc.com/product-detail/C347589.html" TargetMode="External"/><Relationship Id="rId17" Type="http://schemas.openxmlformats.org/officeDocument/2006/relationships/hyperlink" Target="https://www.lcsc.com/datasheet/lcsc_datasheet_1912111437_Texas-Instruments-SN74LVC2G34DBVR_C347589.pdf" TargetMode="External"/><Relationship Id="rId18" Type="http://schemas.openxmlformats.org/officeDocument/2006/relationships/hyperlink" Target="https://www.lcsc.com/product-detail/C5187096.html" TargetMode="External"/><Relationship Id="rId19" Type="http://schemas.openxmlformats.org/officeDocument/2006/relationships/hyperlink" Target="https://wmsc.lcsc.com/wmsc/upload/file/pdf/v2/lcsc/2403131352_WCH-Jiangsu-Qin-Heng-CH32V003F4P6_C5187096.pdf" TargetMode="External"/><Relationship Id="rId20" Type="http://schemas.openxmlformats.org/officeDocument/2006/relationships/hyperlink" Target="https://www.lcsc.com/product-detail/C130204.html" TargetMode="External"/><Relationship Id="rId21" Type="http://schemas.openxmlformats.org/officeDocument/2006/relationships/hyperlink" Target="https://www.lcsc.com/datasheet/lcsc_datasheet_2410121939_Texas-Instruments-TCA9535PWR_C130204.pdf" TargetMode="External"/><Relationship Id="rId22" Type="http://schemas.openxmlformats.org/officeDocument/2006/relationships/hyperlink" Target="https://www.lcsc.com/product-detail/C115448.html" TargetMode="External"/><Relationship Id="rId23" Type="http://schemas.openxmlformats.org/officeDocument/2006/relationships/hyperlink" Target="https://www.lcsc.com/datasheet/lcsc_datasheet_1810231513_Lite-On-LTST-C155KGJRKT_C115448.pdf" TargetMode="External"/><Relationship Id="rId24" Type="http://schemas.openxmlformats.org/officeDocument/2006/relationships/hyperlink" Target="https://www.lcsc.com/product-detail/C2864807.html" TargetMode="External"/><Relationship Id="rId25" Type="http://schemas.openxmlformats.org/officeDocument/2006/relationships/hyperlink" Target="https://wmsc.lcsc.com/wmsc/upload/file/pdf/v2/lcsc/2303010700_Texas-Instruments-TMP1075DGKR_C2864807.pdf" TargetMode="External"/><Relationship Id="rId26" Type="http://schemas.openxmlformats.org/officeDocument/2006/relationships/hyperlink" Target="https://www.lcsc.com/product-detail/C3747031.html" TargetMode="External"/><Relationship Id="rId27" Type="http://schemas.openxmlformats.org/officeDocument/2006/relationships/hyperlink" Target="https://wmsc.lcsc.com/wmsc/upload/file/pdf/v2/lcsc/2302282000_Texas-Instruments-TPS7A0230PDBVR_C3747031.pdf" TargetMode="External"/><Relationship Id="rId28" Type="http://schemas.openxmlformats.org/officeDocument/2006/relationships/hyperlink" Target="https://www.lcsc.com/product-detail/C480267.html" TargetMode="External"/><Relationship Id="rId29" Type="http://schemas.openxmlformats.org/officeDocument/2006/relationships/hyperlink" Target="https://www.lcsc.com/datasheet/lcsc_datasheet_2110111130_XKB-Connection-TS-1187A-C-A-B_C480267.pdf" TargetMode="External"/><Relationship Id="rId30" Type="http://schemas.openxmlformats.org/officeDocument/2006/relationships/hyperlink" Target="https://www.lcsc.com/product-detail/C5345933.html" TargetMode="External"/><Relationship Id="rId31" Type="http://schemas.openxmlformats.org/officeDocument/2006/relationships/hyperlink" Target="https://wmsc.lcsc.com/wmsc/upload/file/pdf/v2/lcsc/2302061630_HCTL-HC-TYPE-C-24P-MM0-8-5A-01_C5345933.pdf" TargetMode="External"/><Relationship Id="rId32" Type="http://schemas.openxmlformats.org/officeDocument/2006/relationships/hyperlink" Target="https://www.lcsc.com/product-detail/C30169739.html" TargetMode="External"/><Relationship Id="rId33" Type="http://schemas.openxmlformats.org/officeDocument/2006/relationships/hyperlink" Target="https://www.ti.com/lit/gpn/tps25751" TargetMode="External"/><Relationship Id="rId34" Type="http://schemas.openxmlformats.org/officeDocument/2006/relationships/hyperlink" Target="https://www.lcsc.com/product-detail/C544517.html" TargetMode="External"/><Relationship Id="rId35" Type="http://schemas.openxmlformats.org/officeDocument/2006/relationships/hyperlink" Target="https://wmsc.lcsc.com/wmsc/upload/file/pdf/v2/lcsc/2303021130_Texas-Instruments-HD3SS3212IRKSR_C544517.pdf" TargetMode="External"/><Relationship Id="rId36" Type="http://schemas.openxmlformats.org/officeDocument/2006/relationships/hyperlink" Target="https://www.lcsc.com/product-detail/C138714.html" TargetMode="External"/><Relationship Id="rId37" Type="http://schemas.openxmlformats.org/officeDocument/2006/relationships/hyperlink" Target="https://www.lcsc.com/datasheet/lcsc_datasheet_1811132110_Texas-Instruments-TPD4E05U06DQAR_C138714.pdf" TargetMode="External"/><Relationship Id="rId38" Type="http://schemas.openxmlformats.org/officeDocument/2006/relationships/hyperlink" Target="https://www.lcsc.com/product-detail/C1972959.html" TargetMode="External"/><Relationship Id="rId39" Type="http://schemas.openxmlformats.org/officeDocument/2006/relationships/hyperlink" Target="https://wmsc.lcsc.com/wmsc/upload/file/pdf/v2/lcsc/2303020000_Texas-Instruments-TPD2E2U06DRLR_C1972959.pdf" TargetMode="External"/><Relationship Id="rId40" Type="http://schemas.openxmlformats.org/officeDocument/2006/relationships/hyperlink" Target="https://www.lcsc.com/product-detail/C523793.html" TargetMode="External"/><Relationship Id="rId41" Type="http://schemas.openxmlformats.org/officeDocument/2006/relationships/hyperlink" Target="https://www.lcsc.com/datasheet/lcsc_datasheet_2410121946_Texas-Instruments-TVS2200DRVR_C523793.pdf" TargetMode="External"/><Relationship Id="rId42" Type="http://schemas.openxmlformats.org/officeDocument/2006/relationships/hyperlink" Target="https://www.lcsc.com/product-detail/C2876593.html" TargetMode="External"/><Relationship Id="rId43" Type="http://schemas.openxmlformats.org/officeDocument/2006/relationships/hyperlink" Target="https://www.ti.com/lit/gpn/bq25798" TargetMode="External"/><Relationship Id="rId44" Type="http://schemas.openxmlformats.org/officeDocument/2006/relationships/hyperlink" Target="https://www.lcsc.com/product-detail/C3002.html" TargetMode="External"/><Relationship Id="rId45" Type="http://schemas.openxmlformats.org/officeDocument/2006/relationships/hyperlink" Target="https://www.lcsc.com/datasheet/lcsc_datasheet_1809062113_Infineon-Technologies-IRF7832TRPBF_C3002.pdf" TargetMode="External"/><Relationship Id="rId46" Type="http://schemas.openxmlformats.org/officeDocument/2006/relationships/hyperlink" Target="https://www.lcsc.com/product-detail/C76855.html" TargetMode="External"/><Relationship Id="rId47" Type="http://schemas.openxmlformats.org/officeDocument/2006/relationships/hyperlink" Target="https://wmsc.lcsc.com/wmsc/upload/file/pdf/v2/lcsc/2304140030_TDK-SPM6530T-2R2M_C76855.pdf" TargetMode="External"/><Relationship Id="rId48" Type="http://schemas.openxmlformats.org/officeDocument/2006/relationships/hyperlink" Target="https://www.lcsc.com/product-detail/C364375.html" TargetMode="External"/><Relationship Id="rId49" Type="http://schemas.openxmlformats.org/officeDocument/2006/relationships/hyperlink" Target="https://datasheet.lcsc.com/lcsc/1912111437_YAGEO-PE1206FKE470R01Z_C364375.pdf" TargetMode="External"/><Relationship Id="rId50" Type="http://schemas.openxmlformats.org/officeDocument/2006/relationships/hyperlink" Target="https://www.lcsc.com/product-detail/C473397.html" TargetMode="External"/><Relationship Id="rId51" Type="http://schemas.openxmlformats.org/officeDocument/2006/relationships/hyperlink" Target="https://www.lcsc.com/datasheet/lcsc_datasheet_1912272132_Texas-Instruments-BQ27441DRZR-G1A_C473397.pdf" TargetMode="External"/><Relationship Id="rId52" Type="http://schemas.openxmlformats.org/officeDocument/2006/relationships/hyperlink" Target="https://www.lcsc.com/product-detail/C2845237.html" TargetMode="External"/><Relationship Id="rId53" Type="http://schemas.openxmlformats.org/officeDocument/2006/relationships/hyperlink" Target="https://wmsc.lcsc.com/wmsc/upload/file/pdf/v2/lcsc/2302220830_Texas-Instruments-TPS63802DLAR_C2845237.pdf" TargetMode="External"/><Relationship Id="rId54" Type="http://schemas.openxmlformats.org/officeDocument/2006/relationships/hyperlink" Target="https://www.lcsc.com/product-detail/C668312.html" TargetMode="External"/><Relationship Id="rId55" Type="http://schemas.openxmlformats.org/officeDocument/2006/relationships/hyperlink" Target="https://wmsc.lcsc.com/wmsc/upload/file/pdf/v2/lcsc/2207041845_Murata-Electronics-DFE201612E-R47M-P2_C668312.pdf" TargetMode="External"/><Relationship Id="rId56" Type="http://schemas.openxmlformats.org/officeDocument/2006/relationships/hyperlink" Target="https://www.lcsc.com/product-detail/C919459.html" TargetMode="External"/><Relationship Id="rId57" Type="http://schemas.openxmlformats.org/officeDocument/2006/relationships/hyperlink" Target="https://www.ti.com/lit/gpn/tps61023" TargetMode="External"/><Relationship Id="rId58" Type="http://schemas.openxmlformats.org/officeDocument/2006/relationships/hyperlink" Target="https://www.lcsc.com/product-detail/C87572.html" TargetMode="External"/><Relationship Id="rId59" Type="http://schemas.openxmlformats.org/officeDocument/2006/relationships/hyperlink" Target="https://www.lcsc.com/datasheet/lcsc_datasheet_2304140030_TDK-SPM6530T-1R0M120_C87572.pdf" TargetMode="External"/><Relationship Id="rId60" Type="http://schemas.openxmlformats.org/officeDocument/2006/relationships/hyperlink" Target="https://www.lcsc.com/product-detail/C2681320.html" TargetMode="External"/><Relationship Id="rId61" Type="http://schemas.openxmlformats.org/officeDocument/2006/relationships/hyperlink" Target="https://www.lcsc.com/datasheet/lcsc_datasheet_2303011100_Texas-Instruments-TPS22917DBVR_C2681320.pdf" TargetMode="External"/><Relationship Id="rId62" Type="http://schemas.openxmlformats.org/officeDocument/2006/relationships/hyperlink" Target="https://www.lcsc.com/product-detail/C144394.html" TargetMode="External"/><Relationship Id="rId63" Type="http://schemas.openxmlformats.org/officeDocument/2006/relationships/hyperlink" Target="https://www.lcsc.com/datasheet/lcsc_datasheet_2304140030_JST-B3B-XH-A-LF-SN_C144394.pdf" TargetMode="External"/><Relationship Id="rId64" Type="http://schemas.openxmlformats.org/officeDocument/2006/relationships/hyperlink" Target="https://www.lcsc.com/product-detail/C144402.html" TargetMode="External"/><Relationship Id="rId65" Type="http://schemas.openxmlformats.org/officeDocument/2006/relationships/hyperlink" Target="https://wmsc.lcsc.com/wmsc/upload/file/pdf/v2/lcsc/2304140030_JST-XHP-3_C144402.pdf" TargetMode="External"/><Relationship Id="rId66" Type="http://schemas.openxmlformats.org/officeDocument/2006/relationships/hyperlink" Target="https://www.lcsc.com/product-detail/C140573.html" TargetMode="External"/><Relationship Id="rId67" Type="http://schemas.openxmlformats.org/officeDocument/2006/relationships/hyperlink" Target="https://wmsc.lcsc.com/wmsc/upload/file/pdf/v2/lcsc/2304140030_JST-SXH-001T-P0-6_C140573.pdf" TargetMode="External"/><Relationship Id="rId68" Type="http://schemas.openxmlformats.org/officeDocument/2006/relationships/hyperlink" Target="https://www.lcsc.com/product-detail/C347559.html" TargetMode="External"/><Relationship Id="rId69" Type="http://schemas.openxmlformats.org/officeDocument/2006/relationships/hyperlink" Target="https://wmsc.lcsc.com/wmsc/upload/file/pdf/v2/lcsc/1912111437_PANASONIC-10TPF150ML_C347559.pdf" TargetMode="External"/><Relationship Id="rId70" Type="http://schemas.openxmlformats.org/officeDocument/2006/relationships/hyperlink" Target="https://www.lcsc.com/product-detail/C5942077.html" TargetMode="External"/><Relationship Id="rId71" Type="http://schemas.openxmlformats.org/officeDocument/2006/relationships/hyperlink" Target="https://wmsc.lcsc.com/wmsc/upload/file/pdf/v2/lcsc/2306061214_Texas-Instruments-TPS55289RYQR_C5942077.pdf" TargetMode="External"/><Relationship Id="rId72" Type="http://schemas.openxmlformats.org/officeDocument/2006/relationships/hyperlink" Target="https://www.lcsc.com/product-detail/C506574.html" TargetMode="External"/><Relationship Id="rId73" Type="http://schemas.openxmlformats.org/officeDocument/2006/relationships/hyperlink" Target="https://wmsc.lcsc.com/wmsc/upload/file/pdf/v2/lcsc/2304140030_Vishay-Intertech-IHLP2525CZER3R3M01_C506574.pdf" TargetMode="External"/><Relationship Id="rId74" Type="http://schemas.openxmlformats.org/officeDocument/2006/relationships/hyperlink" Target="https://www.lcsc.com/product-detail/C713435.html" TargetMode="External"/><Relationship Id="rId75" Type="http://schemas.openxmlformats.org/officeDocument/2006/relationships/hyperlink" Target="https://wmsc.lcsc.com/wmsc/upload/file/pdf/v2/lcsc/2011031708_PANASONIC-ERJ8CWFR020V_C713435.pdf" TargetMode="External"/><Relationship Id="rId76" Type="http://schemas.openxmlformats.org/officeDocument/2006/relationships/hyperlink" Target="https://www.lcsc.com/product-detail/C77102.html" TargetMode="External"/><Relationship Id="rId77" Type="http://schemas.openxmlformats.org/officeDocument/2006/relationships/hyperlink" Target="https://www.lcsc.com/datasheet/lcsc_datasheet_2304140030_Murata-Electronics-GRM32ER71H106KA12L_C77102.pdf" TargetMode="External"/><Relationship Id="rId78" Type="http://schemas.openxmlformats.org/officeDocument/2006/relationships/hyperlink" Target="https://www.lcsc.com/product-detail/C2941042.html" TargetMode="External"/><Relationship Id="rId79" Type="http://schemas.openxmlformats.org/officeDocument/2006/relationships/hyperlink" Target="https://www.ti.com/lit/gpn/lm74700-q1" TargetMode="External"/><Relationship Id="rId80" Type="http://schemas.openxmlformats.org/officeDocument/2006/relationships/hyperlink" Target="https://www.lcsc.com/product-detail/C514442.html" TargetMode="External"/><Relationship Id="rId81" Type="http://schemas.openxmlformats.org/officeDocument/2006/relationships/hyperlink" Target="https://www.lcsc.com/datasheet/lcsc_datasheet_2304140030_Analog-Devices-LTC4412ES6-TRPBF_C514442.pdf" TargetMode="External"/><Relationship Id="rId82" Type="http://schemas.openxmlformats.org/officeDocument/2006/relationships/hyperlink" Target="https://www.lcsc.com/product-detail/C431196.html" TargetMode="External"/><Relationship Id="rId83" Type="http://schemas.openxmlformats.org/officeDocument/2006/relationships/hyperlink" Target="https://www.lcsc.com/datasheet/lcsc_datasheet_1912111437_Alpha---Omega-Semicon-AONR21357_C431196.pdf" TargetMode="External"/><Relationship Id="rId84" Type="http://schemas.openxmlformats.org/officeDocument/2006/relationships/hyperlink" Target="https://www.lcsc.com/product-detail/C5280958.html" TargetMode="External"/><Relationship Id="rId85" Type="http://schemas.openxmlformats.org/officeDocument/2006/relationships/hyperlink" Target="https://wmsc.lcsc.com/wmsc/upload/file/pdf/v2/lcsc/2211231800_Nexperia-PXN012-60QLJ_C5280958.pdf" TargetMode="External"/><Relationship Id="rId86" Type="http://schemas.openxmlformats.org/officeDocument/2006/relationships/hyperlink" Target="https://www.lcsc.com/product-detail/C146286.html" TargetMode="External"/><Relationship Id="rId87" Type="http://schemas.openxmlformats.org/officeDocument/2006/relationships/hyperlink" Target="https://www.lcsc.com/datasheet/lcsc_datasheet_1811072112_Vishay-Intertech-VOM1271T_C146286.pdf" TargetMode="External"/><Relationship Id="rId88" Type="http://schemas.openxmlformats.org/officeDocument/2006/relationships/hyperlink" Target="https://www.lcsc.com/product-detail/C2887910.html" TargetMode="External"/><Relationship Id="rId89" Type="http://schemas.openxmlformats.org/officeDocument/2006/relationships/hyperlink" Target="https://www.ti.com/lit/gpn/ina228" TargetMode="External"/><Relationship Id="rId90" Type="http://schemas.openxmlformats.org/officeDocument/2006/relationships/hyperlink" Target="https://www.lcsc.com/product-detail/C22427652.html" TargetMode="External"/><Relationship Id="rId91" Type="http://schemas.openxmlformats.org/officeDocument/2006/relationships/hyperlink" Target="https://www.ti.com/lit/gpn/ina241a" TargetMode="External"/><Relationship Id="rId92" Type="http://schemas.openxmlformats.org/officeDocument/2006/relationships/hyperlink" Target="https://www.lcsc.com/product-detail/C2058578.html" TargetMode="External"/><Relationship Id="rId93" Type="http://schemas.openxmlformats.org/officeDocument/2006/relationships/hyperlink" Target="https://www.lcsc.com/datasheet/lcsc_datasheet_2410121730_Texas-Instruments-INA190A3IDCKR_C2058578.pdf" TargetMode="External"/><Relationship Id="rId94" Type="http://schemas.openxmlformats.org/officeDocument/2006/relationships/hyperlink" Target="https://www.lcsc.com/product-detail/C844901.html" TargetMode="External"/><Relationship Id="rId95" Type="http://schemas.openxmlformats.org/officeDocument/2006/relationships/hyperlink" Target="https://www.lcsc.com/datasheet/lcsc_datasheet_2312131902_Vishay-Intertech-WSL2512R0100FEA_C844901.pdf" TargetMode="External"/><Relationship Id="rId96" Type="http://schemas.openxmlformats.org/officeDocument/2006/relationships/hyperlink" Target="https://www.lcsc.com/product-detail/C844887.html" TargetMode="External"/><Relationship Id="rId97" Type="http://schemas.openxmlformats.org/officeDocument/2006/relationships/hyperlink" Target="https://wmsc.lcsc.com/wmsc/upload/file/pdf/v2/lcsc/2312181733_Vishay-Intertech-CRCW25121R00FKEG_C844887.pdf" TargetMode="External"/><Relationship Id="rId98" Type="http://schemas.openxmlformats.org/officeDocument/2006/relationships/hyperlink" Target="https://www.lcsc.com/product-detail/C122970.html" TargetMode="External"/><Relationship Id="rId99" Type="http://schemas.openxmlformats.org/officeDocument/2006/relationships/hyperlink" Target="https://www.lcsc.com/datasheet/lcsc_datasheet_2304140030_YAGEO-RT0603BRD07100RL_C122970.pdf" TargetMode="External"/><Relationship Id="rId100" Type="http://schemas.openxmlformats.org/officeDocument/2006/relationships/hyperlink" Target="https://www.lcsc.com/product-detail/C99395.html" TargetMode="External"/><Relationship Id="rId101" Type="http://schemas.openxmlformats.org/officeDocument/2006/relationships/hyperlink" Target="https://www.lcsc.com/datasheet/lcsc_datasheet_2303021300_Texas-Instruments-UCC27517DBVR_C99395.pdf" TargetMode="External"/><Relationship Id="rId102" Type="http://schemas.openxmlformats.org/officeDocument/2006/relationships/hyperlink" Target="https://www.lcsc.com/product-detail/C7722.html" TargetMode="External"/><Relationship Id="rId103" Type="http://schemas.openxmlformats.org/officeDocument/2006/relationships/hyperlink" Target="https://www.lcsc.com/datasheet/lcsc_datasheet_1809151118_Texas-Instruments-TPS61040DBVR_C7722.pdf" TargetMode="External"/><Relationship Id="rId104" Type="http://schemas.openxmlformats.org/officeDocument/2006/relationships/hyperlink" Target="https://www.lcsc.com/product-detail/C82046.html" TargetMode="External"/><Relationship Id="rId105" Type="http://schemas.openxmlformats.org/officeDocument/2006/relationships/hyperlink" Target="https://www.lcsc.com/datasheet/lcsc_datasheet_2304140030_onsemi-MBR0530T1G_C82046.pdf" TargetMode="External"/><Relationship Id="rId106" Type="http://schemas.openxmlformats.org/officeDocument/2006/relationships/hyperlink" Target="https://www.lcsc.com/product-detail/C224016.html" TargetMode="External"/><Relationship Id="rId107" Type="http://schemas.openxmlformats.org/officeDocument/2006/relationships/hyperlink" Target="https://wmsc.lcsc.com/wmsc/upload/file/pdf/v2/lcsc/2304140030_Littelfuse-SMBJ22CA_C224016.pdf" TargetMode="External"/><Relationship Id="rId108" Type="http://schemas.openxmlformats.org/officeDocument/2006/relationships/hyperlink" Target="https://www.lcsc.com/product-detail/C2682152.html" TargetMode="External"/><Relationship Id="rId109" Type="http://schemas.openxmlformats.org/officeDocument/2006/relationships/hyperlink" Target="https://www.lcsc.com/datasheet/lcsc_datasheet_2410010401_Texas-Instruments-SN74LVC1G3208DBVR_C2682152.pdf" TargetMode="External"/><Relationship Id="rId110" Type="http://schemas.openxmlformats.org/officeDocument/2006/relationships/hyperlink" Target="https://www.lcsc.com/product-detail/C12512.html" TargetMode="External"/><Relationship Id="rId111" Type="http://schemas.openxmlformats.org/officeDocument/2006/relationships/hyperlink" Target="https://www.lcsc.com/datasheet/lcsc_datasheet_2407241026_Nexperia-74LVC1G08GW-125_C12512.pdf" TargetMode="External"/><Relationship Id="rId112" Type="http://schemas.openxmlformats.org/officeDocument/2006/relationships/hyperlink" Target="https://www.lcsc.com/product-detail/C548240.html" TargetMode="External"/><Relationship Id="rId113" Type="http://schemas.openxmlformats.org/officeDocument/2006/relationships/hyperlink" Target="https://www.lcsc.com/datasheet/lcsc_datasheet_2407241040_Nexperia-74LVC1G11GV-125_C548240.pdf" TargetMode="External"/><Relationship Id="rId114" Type="http://schemas.openxmlformats.org/officeDocument/2006/relationships/hyperlink" Target="https://www.lcsc.com/product-detail/C7978.html" TargetMode="External"/><Relationship Id="rId115" Type="http://schemas.openxmlformats.org/officeDocument/2006/relationships/hyperlink" Target="https://www.lcsc.com/datasheet/lcsc_datasheet_2304140030_Texas-Instruments-LMV339IDR_C7978.pdf" TargetMode="External"/><Relationship Id="rId116" Type="http://schemas.openxmlformats.org/officeDocument/2006/relationships/hyperlink" Target="https://www.lcsc.com/product-detail/C265126.html" TargetMode="External"/><Relationship Id="rId117" Type="http://schemas.openxmlformats.org/officeDocument/2006/relationships/hyperlink" Target="https://www.lcsc.com/datasheet/lcsc_datasheet_2407241027_Nexperia-74LVC1G3157GW-125_C265126.pdf" TargetMode="External"/><Relationship Id="rId118" Type="http://schemas.openxmlformats.org/officeDocument/2006/relationships/hyperlink" Target="https://www.lcsc.com/product-detail/C37704.html" TargetMode="External"/><Relationship Id="rId119" Type="http://schemas.openxmlformats.org/officeDocument/2006/relationships/hyperlink" Target="https://www.lcsc.com/datasheet/lcsc_datasheet_2407241028_Nexperia-BAT54C-215_C37704.pdf" TargetMode="External"/><Relationship Id="rId120" Type="http://schemas.openxmlformats.org/officeDocument/2006/relationships/hyperlink" Target="https://www.lcsc.com/product-detail/C184326.html" TargetMode="External"/><Relationship Id="rId121" Type="http://schemas.openxmlformats.org/officeDocument/2006/relationships/hyperlink" Target="https://www.lcsc.com/datasheet/lcsc_datasheet_1810201811_onsemi-S1J_C184326.pdf" TargetMode="External"/><Relationship Id="rId122" Type="http://schemas.openxmlformats.org/officeDocument/2006/relationships/hyperlink" Target="https://www.lcsc.com/product-detail/C7509530.html" TargetMode="External"/><Relationship Id="rId123" Type="http://schemas.openxmlformats.org/officeDocument/2006/relationships/hyperlink" Target="https://wmsc.lcsc.com/wmsc/upload/file/pdf/v2/lcsc/2308151151_CONNFLY-Elec-DS1024-2x2R2_C7509530.pdf" TargetMode="External"/><Relationship Id="rId124" Type="http://schemas.openxmlformats.org/officeDocument/2006/relationships/hyperlink" Target="https://www.lcsc.com/product-detail/C193413.html" TargetMode="External"/><Relationship Id="rId125" Type="http://schemas.openxmlformats.org/officeDocument/2006/relationships/hyperlink" Target="https://www.lcsc.com/datasheet/lcsc_datasheet_1809051528_Texas-Instruments-TLV3501AIDBVR_C193413.pdf" TargetMode="External"/><Relationship Id="rId126" Type="http://schemas.openxmlformats.org/officeDocument/2006/relationships/hyperlink" Target="https://www.lcsc.com/product-detail/C1973137.html" TargetMode="External"/><Relationship Id="rId127" Type="http://schemas.openxmlformats.org/officeDocument/2006/relationships/hyperlink" Target="https://wmsc.lcsc.com/wmsc/upload/file/pdf/v2/lcsc/2304140030_STMicroelectronics-ESDCAN05-2BWY_C1973137.pdf" TargetMode="External"/><Relationship Id="rId128" Type="http://schemas.openxmlformats.org/officeDocument/2006/relationships/hyperlink" Target="https://www.lcsc.com/product-detail/C145516.html" TargetMode="External"/><Relationship Id="rId129" Type="http://schemas.openxmlformats.org/officeDocument/2006/relationships/hyperlink" Target="https://www.lcsc.com/datasheet/lcsc_datasheet_1811041150_onsemi-BAV199LT1G_C145516.pdf" TargetMode="External"/><Relationship Id="rId130" Type="http://schemas.openxmlformats.org/officeDocument/2006/relationships/hyperlink" Target="https://www.lcsc.com/product-detail/C108207.html" TargetMode="External"/><Relationship Id="rId131" Type="http://schemas.openxmlformats.org/officeDocument/2006/relationships/hyperlink" Target="https://www.lcsc.com/datasheet/lcsc_datasheet_1811151641_Microchip-Tech-MCP4728-E-UN_C108207.pdf" TargetMode="External"/><Relationship Id="rId132" Type="http://schemas.openxmlformats.org/officeDocument/2006/relationships/hyperlink" Target="https://www.lcsc.com/product-detail/C128405.html" TargetMode="External"/><Relationship Id="rId133" Type="http://schemas.openxmlformats.org/officeDocument/2006/relationships/hyperlink" Target="https://www.lcsc.com/datasheet/lcsc_datasheet_1810010810_Texas-Instruments-TS5A3159ADBVR_C128405.pdf" TargetMode="External"/><Relationship Id="rId134" Type="http://schemas.openxmlformats.org/officeDocument/2006/relationships/hyperlink" Target="https://www.lcsc.com/product-detail/C49287176.html" TargetMode="External"/><Relationship Id="rId135" Type="http://schemas.openxmlformats.org/officeDocument/2006/relationships/hyperlink" Target="https://www.lcsc.com/product-detail/C49287176.html" TargetMode="External"/><Relationship Id="rId136" Type="http://schemas.openxmlformats.org/officeDocument/2006/relationships/hyperlink" Target="https://www.lcsc.com/product-detail/C4364198.html" TargetMode="External"/><Relationship Id="rId137" Type="http://schemas.openxmlformats.org/officeDocument/2006/relationships/hyperlink" Target="https://wmsc.lcsc.com/wmsc/upload/file/pdf/v2/lcsc/2302281900_Texas-Instruments-SN74LXC1T45DBVR_C4364198.pdf" TargetMode="External"/><Relationship Id="rId138" Type="http://schemas.openxmlformats.org/officeDocument/2006/relationships/hyperlink" Target="https://www.lcsc.com/product-detail/C313835.html" TargetMode="External"/><Relationship Id="rId139" Type="http://schemas.openxmlformats.org/officeDocument/2006/relationships/hyperlink" Target="https://wmsc.lcsc.com/wmsc/upload/file/pdf/v2/lcsc/2312110926_Vishay-Intertech-CRCW0805150RFKEAHP_C313835.pdf" TargetMode="External"/><Relationship Id="rId140" Type="http://schemas.openxmlformats.org/officeDocument/2006/relationships/hyperlink" Target="https://www.lcsc.com/product-detail/C2500.html" TargetMode="External"/><Relationship Id="rId141" Type="http://schemas.openxmlformats.org/officeDocument/2006/relationships/hyperlink" Target="https://www.lcsc.com/datasheet/lcsc_datasheet_2407250951_Nexperia-BAV99-215_C2500.pdf" TargetMode="External"/><Relationship Id="rId142" Type="http://schemas.openxmlformats.org/officeDocument/2006/relationships/hyperlink" Target="https://www.lcsc.com/product-detail/C1852785.html" TargetMode="External"/><Relationship Id="rId143" Type="http://schemas.openxmlformats.org/officeDocument/2006/relationships/hyperlink" Target="https://wmsc.lcsc.com/wmsc/upload/file/pdf/v2/lcsc/2304140030_STMicroelectronics-TLVH431BIL3T_C1852785.pdf" TargetMode="External"/><Relationship Id="rId144" Type="http://schemas.openxmlformats.org/officeDocument/2006/relationships/hyperlink" Target="https://www.lcsc.com/product-detail/C85085.html" TargetMode="External"/><Relationship Id="rId145" Type="http://schemas.openxmlformats.org/officeDocument/2006/relationships/hyperlink" Target="https://www.lcsc.com/datasheet/lcsc_datasheet_1810201422_Nexperia-BCP53-16-115_C85085.pdf" TargetMode="External"/><Relationship Id="rId146" Type="http://schemas.openxmlformats.org/officeDocument/2006/relationships/hyperlink" Target="https://www.lcsc.com/product-detail/C151296.html" TargetMode="External"/><Relationship Id="rId147" Type="http://schemas.openxmlformats.org/officeDocument/2006/relationships/hyperlink" Target="https://www.lcsc.com/datasheet/lcsc_datasheet_2304140030_Littelfuse-SMF5-0A_C151296.pdf" TargetMode="External"/><Relationship Id="rId148" Type="http://schemas.openxmlformats.org/officeDocument/2006/relationships/hyperlink" Target="https://www.lcsc.com/product-detail/C2877852.html" TargetMode="External"/><Relationship Id="rId149" Type="http://schemas.openxmlformats.org/officeDocument/2006/relationships/hyperlink" Target="https://www.lcsc.com/datasheet/lcsc_datasheet_2302282330_Texas-Instruments-TLV75801PDBVR_C2877852.pdf" TargetMode="External"/><Relationship Id="rId150" Type="http://schemas.openxmlformats.org/officeDocument/2006/relationships/hyperlink" Target="https://www.lcsc.com/product-detail/C2681320.html" TargetMode="External"/><Relationship Id="rId151" Type="http://schemas.openxmlformats.org/officeDocument/2006/relationships/hyperlink" Target="https://www.lcsc.com/datasheet/lcsc_datasheet_2303011100_Texas-Instruments-TPS22917DBVR_C2681320.pdf" TargetMode="External"/><Relationship Id="rId152" Type="http://schemas.openxmlformats.org/officeDocument/2006/relationships/hyperlink" Target="https://www.lcsc.com/product-detail/C21757842.html" TargetMode="External"/><Relationship Id="rId153" Type="http://schemas.openxmlformats.org/officeDocument/2006/relationships/hyperlink" Target="https://www.samtec.com/products/ftsh-110-01-l-dh-a" TargetMode="External"/><Relationship Id="rId154" Type="http://schemas.openxmlformats.org/officeDocument/2006/relationships/hyperlink" Target="https://www.lcsc.com/product-detail/C4363995.html" TargetMode="External"/><Relationship Id="rId155" Type="http://schemas.openxmlformats.org/officeDocument/2006/relationships/hyperlink" Target="https://www.ti.com/lit/gpn/sn74lxc8t245" TargetMode="External"/><Relationship Id="rId156" Type="http://schemas.openxmlformats.org/officeDocument/2006/relationships/hyperlink" Target="https://www.lcsc.com/product-detail/C8545.html" TargetMode="External"/><Relationship Id="rId157" Type="http://schemas.openxmlformats.org/officeDocument/2006/relationships/hyperlink" Target="https://www.lcsc.com/datasheet/lcsc_datasheet_2304140030_Jiangsu-Changjing-Electronics-Technology-Co---Ltd--2N7002_C8545.pdf" TargetMode="External"/><Relationship Id="rId158" Type="http://schemas.openxmlformats.org/officeDocument/2006/relationships/hyperlink" Target="https://www.lcsc.com/product-detail/C124691.html" TargetMode="External"/><Relationship Id="rId159" Type="http://schemas.openxmlformats.org/officeDocument/2006/relationships/hyperlink" Target="https://www.lcsc.com/datasheet/lcsc_datasheet_2304140030_Texas-Instruments-TPD4E1U06DBVR_C124691.pdf" TargetMode="External"/><Relationship Id="rId160" Type="http://schemas.openxmlformats.org/officeDocument/2006/relationships/hyperlink" Target="https://www.lcsc.com/product-detail/C201665.html" TargetMode="External"/><Relationship Id="rId161" Type="http://schemas.openxmlformats.org/officeDocument/2006/relationships/hyperlink" Target="https://www.lcsc.com/datasheet/lcsc_datasheet_1810181716_Texas-Instruments-TPD12S016PWR_C201665.pdf" TargetMode="External"/><Relationship Id="rId162" Type="http://schemas.openxmlformats.org/officeDocument/2006/relationships/hyperlink" Target="https://www.lcsc.com/product-detail/C27636748.html" TargetMode="External"/><Relationship Id="rId163" Type="http://schemas.openxmlformats.org/officeDocument/2006/relationships/hyperlink" Target="https://www.lcsc.com/datasheet/lcsc_datasheet_2407091403_G-Switch-GT-HD002A-FNNG1_C27636748.pdf" TargetMode="External"/><Relationship Id="rId164" Type="http://schemas.openxmlformats.org/officeDocument/2006/relationships/hyperlink" Target="https://www.lcsc.com/product-detail/C23398826.html" TargetMode="External"/><Relationship Id="rId165" Type="http://schemas.openxmlformats.org/officeDocument/2006/relationships/hyperlink" Target="https://www.lcsc.com/datasheet/lcsc_datasheet_2406281354_BXCONN-FC-05B54P21H20_C23398826.pdf" TargetMode="External"/><Relationship Id="rId166" Type="http://schemas.openxmlformats.org/officeDocument/2006/relationships/hyperlink" Target="https://www.lcsc.com/product-detail/C71045.html" TargetMode="External"/><Relationship Id="rId167" Type="http://schemas.openxmlformats.org/officeDocument/2006/relationships/hyperlink" Target="https://www.lcsc.com/datasheet/lcsc_datasheet_2410121543_Texas-Instruments-TPS61169DCKR_C71045.pdf" TargetMode="External"/><Relationship Id="rId168" Type="http://schemas.openxmlformats.org/officeDocument/2006/relationships/hyperlink" Target="https://www.lcsc.com/product-detail/C64885.html" TargetMode="External"/><Relationship Id="rId169" Type="http://schemas.openxmlformats.org/officeDocument/2006/relationships/hyperlink" Target="https://www.lcsc.com/datasheet/lcsc_datasheet_2407291648_MDD-Microdiode-Semiconductor-B5819W_C64885.pdf" TargetMode="External"/><Relationship Id="rId170" Type="http://schemas.openxmlformats.org/officeDocument/2006/relationships/hyperlink" Target="https://wmsc.lcsc.com/wmsc/upload/file/pdf/v2/lcsc/2310251551_Sunlord-SWPA4018S4R7MT_C60117.pdf" TargetMode="External"/><Relationship Id="rId171" Type="http://schemas.openxmlformats.org/officeDocument/2006/relationships/hyperlink" Target="https://www.lcsc.com/product-detail/C2681320.html" TargetMode="External"/><Relationship Id="rId172" Type="http://schemas.openxmlformats.org/officeDocument/2006/relationships/hyperlink" Target="https://www.lcsc.com/datasheet/lcsc_datasheet_2303011100_Texas-Instruments-TPS22917DBVR_C2681320.pdf" TargetMode="External"/><Relationship Id="rId173" Type="http://schemas.openxmlformats.org/officeDocument/2006/relationships/hyperlink" Target="https://www.lcsc.com/product-detail/C910544.html" TargetMode="External"/><Relationship Id="rId174" Type="http://schemas.openxmlformats.org/officeDocument/2006/relationships/hyperlink" Target="https://www.lcsc.com/datasheet/lcsc_datasheet_2201242100_Analog-Devices-Inc--Maxim-Integrated-MAX98357AETE-T_C910544.pdf" TargetMode="External"/><Relationship Id="rId175" Type="http://schemas.openxmlformats.org/officeDocument/2006/relationships/hyperlink" Target="https://www.lcsc.com/product-detail/C530544.html" TargetMode="External"/><Relationship Id="rId176" Type="http://schemas.openxmlformats.org/officeDocument/2006/relationships/hyperlink" Target="https://wmsc.lcsc.com/wmsc/upload/file/pdf/v2/lcsc/2008051808_INGHAi-GSPK2004PN-8R1W-L100_C530544.pdf" TargetMode="External"/><Relationship Id="rId177" Type="http://schemas.openxmlformats.org/officeDocument/2006/relationships/hyperlink" Target="https://www.lcsc.com/product-detail/C527464.html" TargetMode="External"/><Relationship Id="rId178" Type="http://schemas.openxmlformats.org/officeDocument/2006/relationships/hyperlink" Target="https://www.lcsc.com/datasheet/lcsc_datasheet_2005142220_Texas-Instruments-DRV2605LDGSR_C527464.pdf" TargetMode="External"/><Relationship Id="rId179" Type="http://schemas.openxmlformats.org/officeDocument/2006/relationships/hyperlink" Target="https://www.lcsc.com/product-detail/C2925423.html" TargetMode="External"/><Relationship Id="rId180" Type="http://schemas.openxmlformats.org/officeDocument/2006/relationships/hyperlink" Target="https://www.lcsc.com/datasheet/lcsc_datasheet_2207281230_Mitsumi-Electric-SIQ-02FVS3_C2925423.pdf" TargetMode="External"/><Relationship Id="rId181" Type="http://schemas.openxmlformats.org/officeDocument/2006/relationships/hyperlink" Target="https://www.lcsc.com/product-detail/C110293.html" TargetMode="External"/><Relationship Id="rId182" Type="http://schemas.openxmlformats.org/officeDocument/2006/relationships/hyperlink" Target="https://www.lcsc.com/datasheet/lcsc_datasheet_1809191932_ALPSALPINE-SKRTLAE010_C110293.pdf" TargetMode="External"/><Relationship Id="rId183" Type="http://schemas.openxmlformats.org/officeDocument/2006/relationships/hyperlink" Target="https://www.lcsc.com/product-detail/C967633.html" TargetMode="External"/><Relationship Id="rId184" Type="http://schemas.openxmlformats.org/officeDocument/2006/relationships/hyperlink" Target="https://www.lcsc.com/datasheet/lcsc_datasheet_2409291604_STMicroelectronics-LSM6DS3TR-C_C967633.pdf" TargetMode="External"/><Relationship Id="rId185" Type="http://schemas.openxmlformats.org/officeDocument/2006/relationships/hyperlink" Target="https://www.lcsc.com/product-detail/C511498.html" TargetMode="External"/><Relationship Id="rId186" Type="http://schemas.openxmlformats.org/officeDocument/2006/relationships/hyperlink" Target="https://wmsc.lcsc.com/wmsc/upload/file/pdf/v2/lcsc/2304140030_Vishay-Intertech-TSOP75238TR_C511498.pdf" TargetMode="External"/><Relationship Id="rId187" Type="http://schemas.openxmlformats.org/officeDocument/2006/relationships/hyperlink" Target="https://www.lcsc.com/product-detail/C511094.html" TargetMode="External"/><Relationship Id="rId188" Type="http://schemas.openxmlformats.org/officeDocument/2006/relationships/hyperlink" Target="https://www.lcsc.com/datasheet/lcsc_datasheet_2004181706_Vishay-Intertech-VSMB2943SLX01_C511094.pdf" TargetMode="External"/><Relationship Id="rId189" Type="http://schemas.openxmlformats.org/officeDocument/2006/relationships/hyperlink" Target="https://www.lcsc.com/product-detail/C20917.html" TargetMode="External"/><Relationship Id="rId190" Type="http://schemas.openxmlformats.org/officeDocument/2006/relationships/hyperlink" Target="https://www.lcsc.com/datasheet/lcsc_datasheet_1811081213_Alpha---Omega-Semicon-AO3400A_C20917.pdf" TargetMode="External"/><Relationship Id="rId191" Type="http://schemas.openxmlformats.org/officeDocument/2006/relationships/hyperlink" Target="https://www.lcsc.com/product-detail/C50346179.html" TargetMode="External"/><Relationship Id="rId192" Type="http://schemas.openxmlformats.org/officeDocument/2006/relationships/hyperlink" Target="https://www.espressif.com/sites/default/files/documentation/esp32-c5-mini-1_datasheet_en.pdf" TargetMode="External"/><Relationship Id="rId193" Type="http://schemas.openxmlformats.org/officeDocument/2006/relationships/hyperlink" Target="https://www.lcsc.com/product-detail/C114218.html" TargetMode="External"/><Relationship Id="rId194" Type="http://schemas.openxmlformats.org/officeDocument/2006/relationships/hyperlink" Target="https://www.lcsc.com/datasheet/lcsc_datasheet_2410121938_HRS-Hirose-DM3AT-SF-PEJM5_C114218.pdf" TargetMode="External"/><Relationship Id="rId195" Type="http://schemas.openxmlformats.org/officeDocument/2006/relationships/hyperlink" Target="https://www.lcsc.com/product-detail/C160404.html" TargetMode="External"/><Relationship Id="rId196" Type="http://schemas.openxmlformats.org/officeDocument/2006/relationships/hyperlink" Target="https://www.lcsc.com/datasheet/lcsc_datasheet_2304140030_JST-SM04B-SRSS-TB-LF-SN_C160404.pdf" TargetMode="External"/><Relationship Id="rId197" Type="http://schemas.openxmlformats.org/officeDocument/2006/relationships/hyperlink" Target="https://www.lcsc.com/product-detail/C464636.html" TargetMode="External"/><Relationship Id="rId198" Type="http://schemas.openxmlformats.org/officeDocument/2006/relationships/hyperlink" Target="https://wmsc.lcsc.com/wmsc/upload/file/pdf/v2/lcsc/2304140030_Amphenol-ICC-61082-082402LF_C464636.pdf" TargetMode="External"/><Relationship Id="rId199" Type="http://schemas.openxmlformats.org/officeDocument/2006/relationships/hyperlink" Target="https://www.we-online.com/components/products/datasheet/9774090151R.pdf" TargetMode="External"/><Relationship Id="rId200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661813.html" TargetMode="External"/><Relationship Id="rId2" Type="http://schemas.openxmlformats.org/officeDocument/2006/relationships/hyperlink" Target="https://www.lcsc.com/datasheet/lcsc_datasheet_2006281816_Analog-Devices-HMCAD1511TR_C661813.pdf" TargetMode="External"/><Relationship Id="rId3" Type="http://schemas.openxmlformats.org/officeDocument/2006/relationships/hyperlink" Target="https://www.lcsc.com/product-detail/C2665711.html" TargetMode="External"/><Relationship Id="rId4" Type="http://schemas.openxmlformats.org/officeDocument/2006/relationships/hyperlink" Target="https://wmsc.lcsc.com/wmsc/upload/file/pdf/v2/lcsc/2303011600_Texas-Instruments-LMX2572RHAR_C2665711.pdf" TargetMode="External"/><Relationship Id="rId5" Type="http://schemas.openxmlformats.org/officeDocument/2006/relationships/hyperlink" Target="https://www.lcsc.com/product-detail/C2862740.html" TargetMode="External"/><Relationship Id="rId6" Type="http://schemas.openxmlformats.org/officeDocument/2006/relationships/hyperlink" Target="https://www.lcsc.com/datasheet/lcsc_datasheet_2303010830_Texas-Instruments-TPS7A2033PDBVR_C2862740.pdf" TargetMode="External"/><Relationship Id="rId7" Type="http://schemas.openxmlformats.org/officeDocument/2006/relationships/hyperlink" Target="https://www.lcsc.com/product-detail/C2679883.html" TargetMode="External"/><Relationship Id="rId8" Type="http://schemas.openxmlformats.org/officeDocument/2006/relationships/hyperlink" Target="https://wmsc.lcsc.com/wmsc/upload/file/pdf/v2/lcsc/2303011100_Texas-Instruments-DAC904E-2K5_C2679883.pdf" TargetMode="External"/><Relationship Id="rId9" Type="http://schemas.openxmlformats.org/officeDocument/2006/relationships/hyperlink" Target="https://www.lcsc.com/product-detail/C2864373.html" TargetMode="External"/><Relationship Id="rId10" Type="http://schemas.openxmlformats.org/officeDocument/2006/relationships/hyperlink" Target="https://wmsc.lcsc.com/wmsc/upload/file/pdf/v2/lcsc/2302212330_Texas-Instruments-OPA2673IRGVT_C2864373.pdf" TargetMode="External"/><Relationship Id="rId11" Type="http://schemas.openxmlformats.org/officeDocument/2006/relationships/hyperlink" Target="https://www.lcsc.com/product-detail/C78812.html" TargetMode="External"/><Relationship Id="rId12" Type="http://schemas.openxmlformats.org/officeDocument/2006/relationships/hyperlink" Target="https://www.lcsc.com/datasheet/lcsc_datasheet_2304140030_Littelfuse-SMBJ6-0CA_C78812.pdf" TargetMode="External"/><Relationship Id="rId13" Type="http://schemas.openxmlformats.org/officeDocument/2006/relationships/hyperlink" Target="https://www.lcsc.com/product-detail/C118873.html" TargetMode="External"/><Relationship Id="rId14" Type="http://schemas.openxmlformats.org/officeDocument/2006/relationships/hyperlink" Target="https://www.lcsc.com/datasheet/lcsc_datasheet_2304140030_onsemi-1N4148WS_C118873.pdf" TargetMode="External"/><Relationship Id="rId15" Type="http://schemas.openxmlformats.org/officeDocument/2006/relationships/hyperlink" Target="https://www.lcsc.com/product-detail/C145516.html" TargetMode="External"/><Relationship Id="rId16" Type="http://schemas.openxmlformats.org/officeDocument/2006/relationships/hyperlink" Target="https://www.lcsc.com/datasheet/lcsc_datasheet_1811041150_onsemi-BAV199LT1G_C145516.pdf" TargetMode="External"/><Relationship Id="rId17" Type="http://schemas.openxmlformats.org/officeDocument/2006/relationships/hyperlink" Target="https://www.lcsc.com/product-detail/C604972.html" TargetMode="External"/><Relationship Id="rId18" Type="http://schemas.openxmlformats.org/officeDocument/2006/relationships/hyperlink" Target="https://www.lcsc.com/datasheet/lcsc_datasheet_2008281707_onsemi-2SK3557-7-TB-E_C604972.pdf" TargetMode="External"/><Relationship Id="rId19" Type="http://schemas.openxmlformats.org/officeDocument/2006/relationships/hyperlink" Target="https://www.lcsc.com/product-detail/C273250.html" TargetMode="External"/><Relationship Id="rId20" Type="http://schemas.openxmlformats.org/officeDocument/2006/relationships/hyperlink" Target="https://www.lcsc.com/datasheet/lcsc_datasheet_2205251745_Infineon-Technologies-BFR92PE6327_C273250.pdf" TargetMode="External"/><Relationship Id="rId21" Type="http://schemas.openxmlformats.org/officeDocument/2006/relationships/hyperlink" Target="https://www.lcsc.com/product-detail/C2057776.html" TargetMode="External"/><Relationship Id="rId22" Type="http://schemas.openxmlformats.org/officeDocument/2006/relationships/hyperlink" Target="https://wmsc.lcsc.com/wmsc/upload/file/pdf/v2/lcsc/2303012230_Texas-Instruments-LMV842MMX-NOPB_C2057776.pdf" TargetMode="External"/><Relationship Id="rId23" Type="http://schemas.openxmlformats.org/officeDocument/2006/relationships/hyperlink" Target="https://www.lcsc.com/product-detail/C2673386.html" TargetMode="External"/><Relationship Id="rId24" Type="http://schemas.openxmlformats.org/officeDocument/2006/relationships/hyperlink" Target="https://datasheet.lcsc.com/lcsc/2303011401_Texas-Instruments-TMUX6111PWR_C2673386.pdf" TargetMode="External"/><Relationship Id="rId25" Type="http://schemas.openxmlformats.org/officeDocument/2006/relationships/hyperlink" Target="https://www.lcsc.com/product-detail/C2058382.html" TargetMode="External"/><Relationship Id="rId26" Type="http://schemas.openxmlformats.org/officeDocument/2006/relationships/hyperlink" Target="https://wmsc.lcsc.com/wmsc/upload/file/pdf/v2/lcsc/2302221330_Texas-Instruments-THS4541IRGTT_C2058382.pdf" TargetMode="External"/><Relationship Id="rId27" Type="http://schemas.openxmlformats.org/officeDocument/2006/relationships/hyperlink" Target="https://www.lcsc.com/product-detail/C108207.html" TargetMode="External"/><Relationship Id="rId28" Type="http://schemas.openxmlformats.org/officeDocument/2006/relationships/hyperlink" Target="https://www.lcsc.com/datasheet/lcsc_datasheet_1811151641_Microchip-Tech-MCP4728-E-UN_C108207.pdf" TargetMode="External"/><Relationship Id="rId29" Type="http://schemas.openxmlformats.org/officeDocument/2006/relationships/hyperlink" Target="https://www.lcsc.com/product-detail/C48263.html" TargetMode="External"/><Relationship Id="rId30" Type="http://schemas.openxmlformats.org/officeDocument/2006/relationships/hyperlink" Target="https://www.lcsc.com/datasheet/lcsc_datasheet_1810312320_Texas-Instruments-ADS1220IPWR_C48263.pdf" TargetMode="External"/><Relationship Id="rId31" Type="http://schemas.openxmlformats.org/officeDocument/2006/relationships/hyperlink" Target="https://www.lcsc.com/product-detail/C11341.html" TargetMode="External"/><Relationship Id="rId32" Type="http://schemas.openxmlformats.org/officeDocument/2006/relationships/hyperlink" Target="https://www.lcsc.com/datasheet/lcsc_datasheet_1810292006_Texas-Instruments-REF5025AIDR_C11341.pdf" TargetMode="External"/><Relationship Id="rId33" Type="http://schemas.openxmlformats.org/officeDocument/2006/relationships/hyperlink" Target="https://www.lcsc.com/product-detail/C87663.html" TargetMode="External"/><Relationship Id="rId34" Type="http://schemas.openxmlformats.org/officeDocument/2006/relationships/hyperlink" Target="https://www.lcsc.com/datasheet/lcsc_datasheet_2410010302_Texas-Instruments-TPS65131RGER_C87663.pdf" TargetMode="External"/><Relationship Id="rId35" Type="http://schemas.openxmlformats.org/officeDocument/2006/relationships/hyperlink" Target="https://www.lcsc.com/product-detail/C2041780.html" TargetMode="External"/><Relationship Id="rId36" Type="http://schemas.openxmlformats.org/officeDocument/2006/relationships/hyperlink" Target="https://wmsc.lcsc.com/wmsc/upload/file/pdf/v2/lcsc/2202010000_TDK-B82462G4472M000_C2041780.pdf" TargetMode="External"/><Relationship Id="rId37" Type="http://schemas.openxmlformats.org/officeDocument/2006/relationships/hyperlink" Target="https://www.lcsc.com/product-detail/C32150.html" TargetMode="External"/><Relationship Id="rId38" Type="http://schemas.openxmlformats.org/officeDocument/2006/relationships/hyperlink" Target="https://www.lcsc.com/datasheet/lcsc_datasheet_2304140030_onsemi-MBRM120LT1G_C32150.pdf" TargetMode="External"/><Relationship Id="rId39" Type="http://schemas.openxmlformats.org/officeDocument/2006/relationships/hyperlink" Target="https://www.lcsc.com/product-detail/C16430.html" TargetMode="External"/><Relationship Id="rId40" Type="http://schemas.openxmlformats.org/officeDocument/2006/relationships/hyperlink" Target="https://www.lcsc.com/datasheet/lcsc_datasheet_1810171908_Texas-Instruments-TPS7A4901DGNR_C16430.pdf" TargetMode="External"/><Relationship Id="rId41" Type="http://schemas.openxmlformats.org/officeDocument/2006/relationships/hyperlink" Target="https://www.lcsc.com/product-detail/C33835.html" TargetMode="External"/><Relationship Id="rId42" Type="http://schemas.openxmlformats.org/officeDocument/2006/relationships/hyperlink" Target="https://www.lcsc.com/datasheet/lcsc_datasheet_1809192323_Texas-Instruments-TPS7A3001DGNR_C33835.pdf" TargetMode="External"/><Relationship Id="rId43" Type="http://schemas.openxmlformats.org/officeDocument/2006/relationships/hyperlink" Target="https://www.lcsc.com/product-detail/C41730179.html" TargetMode="External"/><Relationship Id="rId44" Type="http://schemas.openxmlformats.org/officeDocument/2006/relationships/hyperlink" Target="https://www.ti.com/lit/gpn/tps62a01a" TargetMode="External"/><Relationship Id="rId45" Type="http://schemas.openxmlformats.org/officeDocument/2006/relationships/hyperlink" Target="https://www.lcsc.com/product-detail/C161082.html" TargetMode="External"/><Relationship Id="rId46" Type="http://schemas.openxmlformats.org/officeDocument/2006/relationships/hyperlink" Target="https://www.lcsc.com/datasheet/lcsc_datasheet_1810241416_Murata-Electronics-DFE201610E-1R0M-P2_C161082.pdf" TargetMode="External"/><Relationship Id="rId47" Type="http://schemas.openxmlformats.org/officeDocument/2006/relationships/hyperlink" Target="https://www.lcsc.com/product-detail/C5220127.html" TargetMode="External"/><Relationship Id="rId48" Type="http://schemas.openxmlformats.org/officeDocument/2006/relationships/hyperlink" Target="https://wmsc.lcsc.com/wmsc/upload/file/pdf/v2/lcsc/2309202331_Texas-Instruments-TPS7A9401DSCR_C5220127.pdf" TargetMode="External"/><Relationship Id="rId49" Type="http://schemas.openxmlformats.org/officeDocument/2006/relationships/hyperlink" Target="https://www.lcsc.com/product-detail/C963430.html" TargetMode="External"/><Relationship Id="rId50" Type="http://schemas.openxmlformats.org/officeDocument/2006/relationships/hyperlink" Target="https://www.lcsc.com/datasheet/lcsc_datasheet_2302221730_Texas-Instruments-TPS7A2018PDBVR_C963430.pdf" TargetMode="External"/><Relationship Id="rId51" Type="http://schemas.openxmlformats.org/officeDocument/2006/relationships/hyperlink" Target="https://www.lcsc.com/product-detail/C19078074.html" TargetMode="External"/><Relationship Id="rId52" Type="http://schemas.openxmlformats.org/officeDocument/2006/relationships/hyperlink" Target="https://wmsc.lcsc.com/wmsc/upload/file/pdf/v2/lcsc/2310241355_HF-Xiamen-Hongfa-Electroacoustic-HFD4-3-LSR_C19078074.pdf" TargetMode="External"/><Relationship Id="rId53" Type="http://schemas.openxmlformats.org/officeDocument/2006/relationships/hyperlink" Target="https://www.lcsc.com/product-detail/C544801.html" TargetMode="External"/><Relationship Id="rId54" Type="http://schemas.openxmlformats.org/officeDocument/2006/relationships/hyperlink" Target="https://wmsc.lcsc.com/wmsc/upload/file/pdf/v2/lcsc/2303021130_Texas-Instruments-DRV8833PWR_C544801.pdf" TargetMode="External"/><Relationship Id="rId55" Type="http://schemas.openxmlformats.org/officeDocument/2006/relationships/hyperlink" Target="https://www.lcsc.com/product-detail/C5458.html" TargetMode="External"/><Relationship Id="rId56" Type="http://schemas.openxmlformats.org/officeDocument/2006/relationships/hyperlink" Target="https://www.lcsc.com/datasheet/lcsc_datasheet_1810181823_Microchip-Tech-24LC256T-I-SN_C5458.pdf" TargetMode="External"/><Relationship Id="rId57" Type="http://schemas.openxmlformats.org/officeDocument/2006/relationships/hyperlink" Target="https://www.lcsc.com/product-detail/C182421.html" TargetMode="External"/><Relationship Id="rId58" Type="http://schemas.openxmlformats.org/officeDocument/2006/relationships/hyperlink" Target="https://www.lcsc.com/datasheet/lcsc_datasheet_2410122031_Texas-Instruments-TCA9517DR_C182421.pdf" TargetMode="External"/><Relationship Id="rId59" Type="http://schemas.openxmlformats.org/officeDocument/2006/relationships/hyperlink" Target="https://www.lcsc.com/product-detail/C7813.html" TargetMode="External"/><Relationship Id="rId60" Type="http://schemas.openxmlformats.org/officeDocument/2006/relationships/hyperlink" Target="https://www.lcsc.com/datasheet/lcsc_datasheet_1811011925_Texas-Instruments-SN74LVC125APWR_C7813.pdf" TargetMode="External"/><Relationship Id="rId61" Type="http://schemas.openxmlformats.org/officeDocument/2006/relationships/hyperlink" Target="https://www.lcsc.com/product-detail/C465732.html" TargetMode="External"/><Relationship Id="rId62" Type="http://schemas.openxmlformats.org/officeDocument/2006/relationships/hyperlink" Target="https://www.lcsc.com/datasheet/lcsc_datasheet_1912111437_Texas-Instruments-TCA9555PWR_C465732.pdf" TargetMode="External"/><Relationship Id="rId63" Type="http://schemas.openxmlformats.org/officeDocument/2006/relationships/hyperlink" Target="https://www.lcsc.com/product-detail/C98107.html" TargetMode="External"/><Relationship Id="rId64" Type="http://schemas.openxmlformats.org/officeDocument/2006/relationships/hyperlink" Target="https://www.lcsc.com/product-detail/C98107.html" TargetMode="External"/><Relationship Id="rId65" Type="http://schemas.openxmlformats.org/officeDocument/2006/relationships/hyperlink" Target="https://www.lcsc.com/product-detail/C464611.html" TargetMode="External"/><Relationship Id="rId66" Type="http://schemas.openxmlformats.org/officeDocument/2006/relationships/hyperlink" Target="https://www.lcsc.com/datasheet/lcsc_datasheet_2304140030_Amphenol-ICC-61083-081402LF_C464611.pdf" TargetMode="External"/><Relationship Id="rId67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428482.html" TargetMode="External"/><Relationship Id="rId2" Type="http://schemas.openxmlformats.org/officeDocument/2006/relationships/hyperlink" Target="https://www.lcsc.com/datasheet/lcsc_datasheet_1912111437_TE-Connectivity-1473005-4_C428482.pdf" TargetMode="External"/><Relationship Id="rId3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307505.html" TargetMode="External"/><Relationship Id="rId2" Type="http://schemas.openxmlformats.org/officeDocument/2006/relationships/hyperlink" Target="https://wmsc.lcsc.com/wmsc/upload/file/pdf/v2/lcsc/2304140030_Samsung-Electro-Mechanics-CL10C2R2BB8NNNC_C307505.pdf" TargetMode="External"/><Relationship Id="rId3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22"/>
    <col collapsed="false" customWidth="true" hidden="false" outlineLevel="0" max="11" min="11" style="0" width="16"/>
    <col collapsed="false" customWidth="true" hidden="false" outlineLevel="0" max="12" min="12" style="0" width="60"/>
  </cols>
  <sheetData>
    <row r="1" customFormat="false" ht="61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31.3" hidden="false" customHeight="false" outlineLevel="0" collapsed="false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n">
        <v>1</v>
      </c>
      <c r="G2" s="3" t="s">
        <v>17</v>
      </c>
      <c r="H2" s="4" t="n">
        <v>3.8798</v>
      </c>
      <c r="I2" s="5" t="n">
        <f aca="false">IF(H2="","",VALUE(SUBSTITUTE(F2,"~",""))*H2)</f>
        <v>3.8798</v>
      </c>
      <c r="J2" s="2" t="s">
        <v>18</v>
      </c>
      <c r="K2" s="3" t="s">
        <v>19</v>
      </c>
      <c r="L2" s="2" t="s">
        <v>20</v>
      </c>
    </row>
    <row r="3" customFormat="false" ht="16.4" hidden="false" customHeight="false" outlineLevel="0" collapsed="false">
      <c r="A3" s="2" t="s">
        <v>12</v>
      </c>
      <c r="B3" s="2" t="s">
        <v>21</v>
      </c>
      <c r="C3" s="2" t="s">
        <v>22</v>
      </c>
      <c r="D3" s="2" t="s">
        <v>23</v>
      </c>
      <c r="E3" s="2" t="s">
        <v>24</v>
      </c>
      <c r="F3" s="2" t="n">
        <v>1</v>
      </c>
      <c r="G3" s="3" t="s">
        <v>25</v>
      </c>
      <c r="H3" s="4" t="n">
        <v>0.0962</v>
      </c>
      <c r="I3" s="5" t="n">
        <f aca="false">IF(H3="","",VALUE(SUBSTITUTE(F3,"~",""))*H3)</f>
        <v>0.0962</v>
      </c>
      <c r="J3" s="2" t="s">
        <v>18</v>
      </c>
      <c r="K3" s="3" t="s">
        <v>26</v>
      </c>
      <c r="L3" s="2" t="s">
        <v>27</v>
      </c>
    </row>
    <row r="4" customFormat="false" ht="31.3" hidden="false" customHeight="false" outlineLevel="0" collapsed="false">
      <c r="A4" s="2" t="s">
        <v>12</v>
      </c>
      <c r="B4" s="2" t="s">
        <v>28</v>
      </c>
      <c r="C4" s="2" t="s">
        <v>29</v>
      </c>
      <c r="D4" s="2" t="s">
        <v>30</v>
      </c>
      <c r="E4" s="2" t="s">
        <v>31</v>
      </c>
      <c r="F4" s="2" t="n">
        <v>1</v>
      </c>
      <c r="G4" s="3" t="s">
        <v>32</v>
      </c>
      <c r="H4" s="4" t="n">
        <v>0.2683</v>
      </c>
      <c r="I4" s="5" t="n">
        <f aca="false">IF(H4="","",VALUE(SUBSTITUTE(F4,"~",""))*H4)</f>
        <v>0.2683</v>
      </c>
      <c r="J4" s="2" t="s">
        <v>18</v>
      </c>
      <c r="K4" s="3" t="s">
        <v>26</v>
      </c>
      <c r="L4" s="2" t="s">
        <v>33</v>
      </c>
    </row>
    <row r="5" customFormat="false" ht="16.4" hidden="false" customHeight="false" outlineLevel="0" collapsed="false">
      <c r="A5" s="2" t="s">
        <v>12</v>
      </c>
      <c r="B5" s="2" t="s">
        <v>34</v>
      </c>
      <c r="C5" s="2" t="s">
        <v>35</v>
      </c>
      <c r="D5" s="2" t="s">
        <v>36</v>
      </c>
      <c r="E5" s="2" t="s">
        <v>37</v>
      </c>
      <c r="F5" s="2" t="n">
        <v>1</v>
      </c>
      <c r="G5" s="3" t="s">
        <v>38</v>
      </c>
      <c r="H5" s="4" t="n">
        <v>0.0692</v>
      </c>
      <c r="I5" s="5" t="n">
        <f aca="false">IF(H5="","",VALUE(SUBSTITUTE(F5,"~",""))*H5)</f>
        <v>0.0692</v>
      </c>
      <c r="J5" s="2" t="s">
        <v>18</v>
      </c>
      <c r="K5" s="3" t="s">
        <v>26</v>
      </c>
      <c r="L5" s="2" t="s">
        <v>39</v>
      </c>
    </row>
    <row r="6" customFormat="false" ht="31.3" hidden="false" customHeight="false" outlineLevel="0" collapsed="false">
      <c r="A6" s="2" t="s">
        <v>12</v>
      </c>
      <c r="B6" s="2" t="s">
        <v>40</v>
      </c>
      <c r="C6" s="2" t="s">
        <v>41</v>
      </c>
      <c r="D6" s="2" t="s">
        <v>42</v>
      </c>
      <c r="E6" s="2" t="s">
        <v>43</v>
      </c>
      <c r="F6" s="2" t="n">
        <v>1</v>
      </c>
      <c r="G6" s="2" t="s">
        <v>44</v>
      </c>
      <c r="H6" s="4" t="n">
        <v>0.0438</v>
      </c>
      <c r="I6" s="5" t="n">
        <f aca="false">IF(H6="","",VALUE(SUBSTITUTE(F6,"~",""))*H6)</f>
        <v>0.0438</v>
      </c>
      <c r="J6" s="2" t="s">
        <v>45</v>
      </c>
      <c r="K6" s="3" t="s">
        <v>26</v>
      </c>
      <c r="L6" s="2" t="s">
        <v>46</v>
      </c>
    </row>
    <row r="7" customFormat="false" ht="16.4" hidden="false" customHeight="false" outlineLevel="0" collapsed="false">
      <c r="A7" s="2" t="s">
        <v>12</v>
      </c>
      <c r="B7" s="2" t="s">
        <v>47</v>
      </c>
      <c r="C7" s="2" t="s">
        <v>48</v>
      </c>
      <c r="D7" s="2" t="s">
        <v>49</v>
      </c>
      <c r="E7" s="2" t="s">
        <v>50</v>
      </c>
      <c r="F7" s="2" t="n">
        <v>1</v>
      </c>
      <c r="G7" s="3" t="s">
        <v>51</v>
      </c>
      <c r="H7" s="4" t="n">
        <v>2.6051</v>
      </c>
      <c r="I7" s="5" t="n">
        <f aca="false">IF(H7="","",VALUE(SUBSTITUTE(F7,"~",""))*H7)</f>
        <v>2.6051</v>
      </c>
      <c r="J7" s="2" t="s">
        <v>18</v>
      </c>
      <c r="K7" s="3" t="s">
        <v>26</v>
      </c>
      <c r="L7" s="2" t="s">
        <v>52</v>
      </c>
    </row>
    <row r="8" customFormat="false" ht="16.4" hidden="false" customHeight="false" outlineLevel="0" collapsed="false">
      <c r="A8" s="2" t="s">
        <v>12</v>
      </c>
      <c r="B8" s="2" t="s">
        <v>53</v>
      </c>
      <c r="C8" s="2" t="s">
        <v>54</v>
      </c>
      <c r="D8" s="2" t="s">
        <v>55</v>
      </c>
      <c r="E8" s="2" t="s">
        <v>24</v>
      </c>
      <c r="F8" s="2" t="n">
        <v>1</v>
      </c>
      <c r="G8" s="3" t="s">
        <v>56</v>
      </c>
      <c r="H8" s="4" t="n">
        <v>1.4231</v>
      </c>
      <c r="I8" s="5" t="n">
        <f aca="false">IF(H8="","",VALUE(SUBSTITUTE(F8,"~",""))*H8)</f>
        <v>1.4231</v>
      </c>
      <c r="J8" s="2" t="s">
        <v>18</v>
      </c>
      <c r="K8" s="3" t="s">
        <v>26</v>
      </c>
      <c r="L8" s="2" t="s">
        <v>57</v>
      </c>
    </row>
    <row r="9" customFormat="false" ht="16.4" hidden="false" customHeight="false" outlineLevel="0" collapsed="false">
      <c r="A9" s="2" t="s">
        <v>12</v>
      </c>
      <c r="B9" s="2" t="s">
        <v>58</v>
      </c>
      <c r="C9" s="2" t="s">
        <v>59</v>
      </c>
      <c r="D9" s="2" t="s">
        <v>36</v>
      </c>
      <c r="E9" s="2" t="s">
        <v>37</v>
      </c>
      <c r="F9" s="2" t="n">
        <v>1</v>
      </c>
      <c r="G9" s="3" t="s">
        <v>60</v>
      </c>
      <c r="H9" s="4" t="n">
        <v>0.3316</v>
      </c>
      <c r="I9" s="5" t="n">
        <f aca="false">IF(H9="","",VALUE(SUBSTITUTE(F9,"~",""))*H9)</f>
        <v>0.3316</v>
      </c>
      <c r="J9" s="2" t="s">
        <v>18</v>
      </c>
      <c r="K9" s="3" t="s">
        <v>26</v>
      </c>
      <c r="L9" s="2" t="s">
        <v>61</v>
      </c>
    </row>
    <row r="10" customFormat="false" ht="16.4" hidden="false" customHeight="false" outlineLevel="0" collapsed="false">
      <c r="A10" s="2" t="s">
        <v>12</v>
      </c>
      <c r="B10" s="2" t="s">
        <v>62</v>
      </c>
      <c r="C10" s="2" t="s">
        <v>63</v>
      </c>
      <c r="D10" s="2" t="s">
        <v>36</v>
      </c>
      <c r="E10" s="2" t="s">
        <v>64</v>
      </c>
      <c r="F10" s="2" t="n">
        <v>1</v>
      </c>
      <c r="G10" s="3" t="s">
        <v>65</v>
      </c>
      <c r="H10" s="4" t="n">
        <v>0.1757</v>
      </c>
      <c r="I10" s="5" t="n">
        <f aca="false">IF(H10="","",VALUE(SUBSTITUTE(F10,"~",""))*H10)</f>
        <v>0.1757</v>
      </c>
      <c r="J10" s="2" t="s">
        <v>18</v>
      </c>
      <c r="K10" s="3" t="s">
        <v>26</v>
      </c>
      <c r="L10" s="2" t="s">
        <v>66</v>
      </c>
    </row>
    <row r="11" customFormat="false" ht="16.4" hidden="false" customHeight="false" outlineLevel="0" collapsed="false">
      <c r="A11" s="2" t="s">
        <v>12</v>
      </c>
      <c r="B11" s="2" t="s">
        <v>67</v>
      </c>
      <c r="C11" s="2" t="s">
        <v>68</v>
      </c>
      <c r="D11" s="2" t="s">
        <v>15</v>
      </c>
      <c r="E11" s="2" t="s">
        <v>69</v>
      </c>
      <c r="F11" s="2" t="n">
        <v>1</v>
      </c>
      <c r="G11" s="3" t="s">
        <v>70</v>
      </c>
      <c r="H11" s="4" t="n">
        <v>0.3103</v>
      </c>
      <c r="I11" s="5" t="n">
        <f aca="false">IF(H11="","",VALUE(SUBSTITUTE(F11,"~",""))*H11)</f>
        <v>0.3103</v>
      </c>
      <c r="J11" s="2" t="s">
        <v>18</v>
      </c>
      <c r="K11" s="3" t="s">
        <v>26</v>
      </c>
      <c r="L11" s="2" t="s">
        <v>71</v>
      </c>
    </row>
    <row r="12" customFormat="false" ht="16.4" hidden="false" customHeight="false" outlineLevel="0" collapsed="false">
      <c r="A12" s="2" t="s">
        <v>12</v>
      </c>
      <c r="B12" s="2" t="s">
        <v>72</v>
      </c>
      <c r="C12" s="2" t="s">
        <v>73</v>
      </c>
      <c r="D12" s="2" t="s">
        <v>36</v>
      </c>
      <c r="E12" s="2" t="s">
        <v>74</v>
      </c>
      <c r="F12" s="2" t="n">
        <v>2</v>
      </c>
      <c r="G12" s="3" t="s">
        <v>75</v>
      </c>
      <c r="H12" s="4" t="n">
        <v>1.38</v>
      </c>
      <c r="I12" s="5" t="n">
        <f aca="false">IF(H12="","",VALUE(SUBSTITUTE(F12,"~",""))*H12)</f>
        <v>2.76</v>
      </c>
      <c r="J12" s="2" t="s">
        <v>18</v>
      </c>
      <c r="K12" s="3" t="s">
        <v>26</v>
      </c>
      <c r="L12" s="2" t="s">
        <v>76</v>
      </c>
    </row>
    <row r="13" customFormat="false" ht="16.4" hidden="false" customHeight="false" outlineLevel="0" collapsed="false">
      <c r="A13" s="2" t="s">
        <v>12</v>
      </c>
      <c r="B13" s="2" t="s">
        <v>77</v>
      </c>
      <c r="C13" s="2" t="s">
        <v>78</v>
      </c>
      <c r="D13" s="2" t="s">
        <v>79</v>
      </c>
      <c r="E13" s="2" t="s">
        <v>80</v>
      </c>
      <c r="F13" s="2" t="n">
        <v>1</v>
      </c>
      <c r="G13" s="3" t="s">
        <v>81</v>
      </c>
      <c r="H13" s="4" t="n">
        <v>0.0626</v>
      </c>
      <c r="I13" s="5" t="n">
        <f aca="false">IF(H13="","",VALUE(SUBSTITUTE(F13,"~",""))*H13)</f>
        <v>0.0626</v>
      </c>
      <c r="J13" s="2" t="s">
        <v>18</v>
      </c>
      <c r="K13" s="3" t="s">
        <v>26</v>
      </c>
      <c r="L13" s="2" t="s">
        <v>82</v>
      </c>
    </row>
    <row r="14" customFormat="false" ht="16.4" hidden="false" customHeight="false" outlineLevel="0" collapsed="false">
      <c r="A14" s="2" t="s">
        <v>12</v>
      </c>
      <c r="B14" s="2" t="s">
        <v>83</v>
      </c>
      <c r="C14" s="2" t="s">
        <v>84</v>
      </c>
      <c r="D14" s="2" t="s">
        <v>36</v>
      </c>
      <c r="E14" s="2" t="s">
        <v>85</v>
      </c>
      <c r="F14" s="2" t="n">
        <v>1</v>
      </c>
      <c r="G14" s="3" t="s">
        <v>86</v>
      </c>
      <c r="H14" s="4" t="n">
        <v>0.4017</v>
      </c>
      <c r="I14" s="5" t="n">
        <f aca="false">IF(H14="","",VALUE(SUBSTITUTE(F14,"~",""))*H14)</f>
        <v>0.4017</v>
      </c>
      <c r="J14" s="2" t="s">
        <v>18</v>
      </c>
      <c r="K14" s="3" t="s">
        <v>26</v>
      </c>
      <c r="L14" s="2" t="s">
        <v>87</v>
      </c>
    </row>
    <row r="15" customFormat="false" ht="16.4" hidden="false" customHeight="false" outlineLevel="0" collapsed="false">
      <c r="A15" s="2" t="s">
        <v>12</v>
      </c>
      <c r="B15" s="2" t="s">
        <v>88</v>
      </c>
      <c r="C15" s="2" t="s">
        <v>89</v>
      </c>
      <c r="D15" s="2" t="s">
        <v>36</v>
      </c>
      <c r="E15" s="2" t="s">
        <v>37</v>
      </c>
      <c r="F15" s="2" t="n">
        <v>1</v>
      </c>
      <c r="G15" s="3" t="s">
        <v>90</v>
      </c>
      <c r="H15" s="4" t="n">
        <v>0.3226</v>
      </c>
      <c r="I15" s="5" t="n">
        <f aca="false">IF(H15="","",VALUE(SUBSTITUTE(F15,"~",""))*H15)</f>
        <v>0.3226</v>
      </c>
      <c r="J15" s="2" t="s">
        <v>18</v>
      </c>
      <c r="K15" s="3" t="s">
        <v>26</v>
      </c>
      <c r="L15" s="2" t="s">
        <v>91</v>
      </c>
    </row>
    <row r="16" customFormat="false" ht="16.4" hidden="false" customHeight="false" outlineLevel="0" collapsed="false">
      <c r="A16" s="2" t="s">
        <v>12</v>
      </c>
      <c r="B16" s="2" t="s">
        <v>92</v>
      </c>
      <c r="C16" s="2" t="s">
        <v>93</v>
      </c>
      <c r="D16" s="2" t="s">
        <v>94</v>
      </c>
      <c r="E16" s="2" t="s">
        <v>95</v>
      </c>
      <c r="F16" s="2" t="n">
        <v>1</v>
      </c>
      <c r="G16" s="3" t="s">
        <v>96</v>
      </c>
      <c r="H16" s="4" t="n">
        <v>0.0339</v>
      </c>
      <c r="I16" s="5" t="n">
        <f aca="false">IF(H16="","",VALUE(SUBSTITUTE(F16,"~",""))*H16)</f>
        <v>0.0339</v>
      </c>
      <c r="J16" s="2" t="s">
        <v>18</v>
      </c>
      <c r="K16" s="3" t="s">
        <v>26</v>
      </c>
      <c r="L16" s="2" t="s">
        <v>97</v>
      </c>
    </row>
    <row r="17" customFormat="false" ht="31.3" hidden="false" customHeight="false" outlineLevel="0" collapsed="false">
      <c r="A17" s="2" t="s">
        <v>98</v>
      </c>
      <c r="B17" s="2" t="s">
        <v>99</v>
      </c>
      <c r="C17" s="2" t="s">
        <v>100</v>
      </c>
      <c r="D17" s="2" t="s">
        <v>101</v>
      </c>
      <c r="E17" s="2" t="s">
        <v>102</v>
      </c>
      <c r="F17" s="2" t="n">
        <v>1</v>
      </c>
      <c r="G17" s="3" t="s">
        <v>103</v>
      </c>
      <c r="H17" s="4" t="n">
        <v>0.5398</v>
      </c>
      <c r="I17" s="5" t="n">
        <f aca="false">IF(H17="","",VALUE(SUBSTITUTE(F17,"~",""))*H17)</f>
        <v>0.5398</v>
      </c>
      <c r="J17" s="2" t="s">
        <v>18</v>
      </c>
      <c r="K17" s="3" t="s">
        <v>26</v>
      </c>
      <c r="L17" s="2" t="s">
        <v>104</v>
      </c>
    </row>
    <row r="18" customFormat="false" ht="16.4" hidden="false" customHeight="false" outlineLevel="0" collapsed="false">
      <c r="A18" s="2" t="s">
        <v>98</v>
      </c>
      <c r="B18" s="2" t="s">
        <v>105</v>
      </c>
      <c r="C18" s="2" t="s">
        <v>106</v>
      </c>
      <c r="D18" s="2" t="s">
        <v>36</v>
      </c>
      <c r="E18" s="2" t="s">
        <v>107</v>
      </c>
      <c r="F18" s="2" t="n">
        <v>1</v>
      </c>
      <c r="G18" s="3" t="s">
        <v>108</v>
      </c>
      <c r="H18" s="4" t="n">
        <v>3.4654</v>
      </c>
      <c r="I18" s="5" t="n">
        <f aca="false">IF(H18="","",VALUE(SUBSTITUTE(F18,"~",""))*H18)</f>
        <v>3.4654</v>
      </c>
      <c r="J18" s="2" t="s">
        <v>18</v>
      </c>
      <c r="K18" s="3" t="s">
        <v>109</v>
      </c>
      <c r="L18" s="2" t="s">
        <v>110</v>
      </c>
    </row>
    <row r="19" customFormat="false" ht="16.4" hidden="false" customHeight="false" outlineLevel="0" collapsed="false">
      <c r="A19" s="2" t="s">
        <v>98</v>
      </c>
      <c r="B19" s="2" t="s">
        <v>111</v>
      </c>
      <c r="C19" s="2" t="s">
        <v>112</v>
      </c>
      <c r="D19" s="2" t="s">
        <v>36</v>
      </c>
      <c r="E19" s="2" t="s">
        <v>113</v>
      </c>
      <c r="F19" s="2" t="n">
        <v>1</v>
      </c>
      <c r="G19" s="3" t="s">
        <v>114</v>
      </c>
      <c r="H19" s="4" t="n">
        <v>1.7568</v>
      </c>
      <c r="I19" s="5" t="n">
        <f aca="false">IF(H19="","",VALUE(SUBSTITUTE(F19,"~",""))*H19)</f>
        <v>1.7568</v>
      </c>
      <c r="J19" s="2" t="s">
        <v>18</v>
      </c>
      <c r="K19" s="3" t="s">
        <v>26</v>
      </c>
      <c r="L19" s="2" t="s">
        <v>115</v>
      </c>
    </row>
    <row r="20" customFormat="false" ht="16.4" hidden="false" customHeight="false" outlineLevel="0" collapsed="false">
      <c r="A20" s="2" t="s">
        <v>98</v>
      </c>
      <c r="B20" s="2" t="s">
        <v>116</v>
      </c>
      <c r="C20" s="2" t="s">
        <v>117</v>
      </c>
      <c r="D20" s="2" t="s">
        <v>36</v>
      </c>
      <c r="E20" s="2" t="s">
        <v>118</v>
      </c>
      <c r="F20" s="2" t="n">
        <v>2</v>
      </c>
      <c r="G20" s="3" t="s">
        <v>119</v>
      </c>
      <c r="H20" s="4" t="n">
        <v>0.0843</v>
      </c>
      <c r="I20" s="5" t="n">
        <f aca="false">IF(H20="","",VALUE(SUBSTITUTE(F20,"~",""))*H20)</f>
        <v>0.1686</v>
      </c>
      <c r="J20" s="2" t="s">
        <v>18</v>
      </c>
      <c r="K20" s="3" t="s">
        <v>26</v>
      </c>
      <c r="L20" s="2" t="s">
        <v>120</v>
      </c>
    </row>
    <row r="21" customFormat="false" ht="16.4" hidden="false" customHeight="false" outlineLevel="0" collapsed="false">
      <c r="A21" s="2" t="s">
        <v>98</v>
      </c>
      <c r="B21" s="2" t="s">
        <v>121</v>
      </c>
      <c r="C21" s="2" t="s">
        <v>122</v>
      </c>
      <c r="D21" s="2" t="s">
        <v>36</v>
      </c>
      <c r="E21" s="2" t="s">
        <v>123</v>
      </c>
      <c r="F21" s="2" t="n">
        <v>2</v>
      </c>
      <c r="G21" s="3" t="s">
        <v>124</v>
      </c>
      <c r="H21" s="4" t="n">
        <v>0.3275</v>
      </c>
      <c r="I21" s="5" t="n">
        <f aca="false">IF(H21="","",VALUE(SUBSTITUTE(F21,"~",""))*H21)</f>
        <v>0.655</v>
      </c>
      <c r="J21" s="2" t="s">
        <v>18</v>
      </c>
      <c r="K21" s="3" t="s">
        <v>26</v>
      </c>
      <c r="L21" s="2" t="s">
        <v>125</v>
      </c>
    </row>
    <row r="22" customFormat="false" ht="16.4" hidden="false" customHeight="false" outlineLevel="0" collapsed="false">
      <c r="A22" s="2" t="s">
        <v>98</v>
      </c>
      <c r="B22" s="2" t="s">
        <v>126</v>
      </c>
      <c r="C22" s="2" t="s">
        <v>127</v>
      </c>
      <c r="D22" s="2" t="s">
        <v>36</v>
      </c>
      <c r="E22" s="2" t="s">
        <v>128</v>
      </c>
      <c r="F22" s="2" t="n">
        <v>1</v>
      </c>
      <c r="G22" s="3" t="s">
        <v>129</v>
      </c>
      <c r="H22" s="4" t="n">
        <v>0.5635</v>
      </c>
      <c r="I22" s="5" t="n">
        <f aca="false">IF(H22="","",VALUE(SUBSTITUTE(F22,"~",""))*H22)</f>
        <v>0.5635</v>
      </c>
      <c r="J22" s="2" t="s">
        <v>18</v>
      </c>
      <c r="K22" s="3" t="s">
        <v>26</v>
      </c>
      <c r="L22" s="2" t="s">
        <v>130</v>
      </c>
    </row>
    <row r="23" customFormat="false" ht="16.4" hidden="false" customHeight="false" outlineLevel="0" collapsed="false">
      <c r="A23" s="2" t="s">
        <v>98</v>
      </c>
      <c r="B23" s="2" t="s">
        <v>131</v>
      </c>
      <c r="C23" s="2" t="s">
        <v>132</v>
      </c>
      <c r="D23" s="2" t="s">
        <v>36</v>
      </c>
      <c r="E23" s="2" t="s">
        <v>133</v>
      </c>
      <c r="F23" s="2" t="n">
        <v>1</v>
      </c>
      <c r="G23" s="3" t="s">
        <v>134</v>
      </c>
      <c r="H23" s="4" t="n">
        <v>2.8553</v>
      </c>
      <c r="I23" s="5" t="n">
        <f aca="false">IF(H23="","",VALUE(SUBSTITUTE(F23,"~",""))*H23)</f>
        <v>2.8553</v>
      </c>
      <c r="J23" s="2" t="s">
        <v>18</v>
      </c>
      <c r="K23" s="3" t="s">
        <v>109</v>
      </c>
      <c r="L23" s="2" t="s">
        <v>135</v>
      </c>
    </row>
    <row r="24" customFormat="false" ht="31.3" hidden="false" customHeight="false" outlineLevel="0" collapsed="false">
      <c r="A24" s="2" t="s">
        <v>98</v>
      </c>
      <c r="B24" s="2" t="s">
        <v>136</v>
      </c>
      <c r="C24" s="2" t="s">
        <v>137</v>
      </c>
      <c r="D24" s="2" t="s">
        <v>138</v>
      </c>
      <c r="E24" s="2" t="s">
        <v>139</v>
      </c>
      <c r="F24" s="2" t="n">
        <v>1</v>
      </c>
      <c r="G24" s="3" t="s">
        <v>140</v>
      </c>
      <c r="H24" s="4" t="n">
        <v>0.6569</v>
      </c>
      <c r="I24" s="5" t="n">
        <f aca="false">IF(H24="","",VALUE(SUBSTITUTE(F24,"~",""))*H24)</f>
        <v>0.6569</v>
      </c>
      <c r="J24" s="2" t="s">
        <v>18</v>
      </c>
      <c r="K24" s="3" t="s">
        <v>26</v>
      </c>
      <c r="L24" s="2" t="s">
        <v>141</v>
      </c>
    </row>
    <row r="25" customFormat="false" ht="16.4" hidden="false" customHeight="false" outlineLevel="0" collapsed="false">
      <c r="A25" s="2" t="s">
        <v>98</v>
      </c>
      <c r="B25" s="2" t="s">
        <v>142</v>
      </c>
      <c r="C25" s="2" t="s">
        <v>143</v>
      </c>
      <c r="D25" s="2" t="s">
        <v>144</v>
      </c>
      <c r="E25" s="2" t="s">
        <v>145</v>
      </c>
      <c r="F25" s="2" t="n">
        <v>1</v>
      </c>
      <c r="G25" s="3" t="s">
        <v>146</v>
      </c>
      <c r="H25" s="4" t="n">
        <v>0.2089</v>
      </c>
      <c r="I25" s="5" t="n">
        <f aca="false">IF(H25="","",VALUE(SUBSTITUTE(F25,"~",""))*H25)</f>
        <v>0.2089</v>
      </c>
      <c r="J25" s="2" t="s">
        <v>18</v>
      </c>
      <c r="K25" s="3" t="s">
        <v>26</v>
      </c>
      <c r="L25" s="2" t="s">
        <v>147</v>
      </c>
    </row>
    <row r="26" customFormat="false" ht="16.4" hidden="false" customHeight="false" outlineLevel="0" collapsed="false">
      <c r="A26" s="2" t="s">
        <v>98</v>
      </c>
      <c r="B26" s="2" t="s">
        <v>148</v>
      </c>
      <c r="C26" s="2" t="s">
        <v>149</v>
      </c>
      <c r="D26" s="2" t="s">
        <v>150</v>
      </c>
      <c r="E26" s="2" t="s">
        <v>151</v>
      </c>
      <c r="F26" s="2" t="n">
        <v>1</v>
      </c>
      <c r="G26" s="3" t="s">
        <v>152</v>
      </c>
      <c r="H26" s="4" t="n">
        <v>0.1277</v>
      </c>
      <c r="I26" s="5" t="n">
        <f aca="false">IF(H26="","",VALUE(SUBSTITUTE(F26,"~",""))*H26)</f>
        <v>0.1277</v>
      </c>
      <c r="J26" s="2" t="s">
        <v>18</v>
      </c>
      <c r="K26" s="3" t="s">
        <v>26</v>
      </c>
      <c r="L26" s="2" t="s">
        <v>153</v>
      </c>
    </row>
    <row r="27" customFormat="false" ht="16.4" hidden="false" customHeight="false" outlineLevel="0" collapsed="false">
      <c r="A27" s="2" t="s">
        <v>98</v>
      </c>
      <c r="B27" s="2" t="s">
        <v>154</v>
      </c>
      <c r="C27" s="2" t="s">
        <v>155</v>
      </c>
      <c r="D27" s="2" t="s">
        <v>36</v>
      </c>
      <c r="E27" s="2" t="s">
        <v>156</v>
      </c>
      <c r="F27" s="2" t="n">
        <v>1</v>
      </c>
      <c r="G27" s="3" t="s">
        <v>157</v>
      </c>
      <c r="H27" s="4" t="n">
        <v>5.0386</v>
      </c>
      <c r="I27" s="5" t="n">
        <f aca="false">IF(H27="","",VALUE(SUBSTITUTE(F27,"~",""))*H27)</f>
        <v>5.0386</v>
      </c>
      <c r="J27" s="2" t="s">
        <v>18</v>
      </c>
      <c r="K27" s="3" t="s">
        <v>26</v>
      </c>
      <c r="L27" s="2" t="s">
        <v>158</v>
      </c>
    </row>
    <row r="28" customFormat="false" ht="16.4" hidden="false" customHeight="false" outlineLevel="0" collapsed="false">
      <c r="A28" s="2" t="s">
        <v>98</v>
      </c>
      <c r="B28" s="2" t="s">
        <v>159</v>
      </c>
      <c r="C28" s="2" t="s">
        <v>160</v>
      </c>
      <c r="D28" s="2" t="s">
        <v>36</v>
      </c>
      <c r="E28" s="2" t="s">
        <v>161</v>
      </c>
      <c r="F28" s="2" t="n">
        <v>1</v>
      </c>
      <c r="G28" s="3" t="s">
        <v>162</v>
      </c>
      <c r="H28" s="4" t="n">
        <v>0.9136</v>
      </c>
      <c r="I28" s="5" t="n">
        <f aca="false">IF(H28="","",VALUE(SUBSTITUTE(F28,"~",""))*H28)</f>
        <v>0.9136</v>
      </c>
      <c r="J28" s="2" t="s">
        <v>18</v>
      </c>
      <c r="K28" s="3" t="s">
        <v>26</v>
      </c>
      <c r="L28" s="2" t="s">
        <v>163</v>
      </c>
    </row>
    <row r="29" customFormat="false" ht="16.4" hidden="false" customHeight="false" outlineLevel="0" collapsed="false">
      <c r="A29" s="2" t="s">
        <v>98</v>
      </c>
      <c r="B29" s="2" t="s">
        <v>164</v>
      </c>
      <c r="C29" s="2" t="s">
        <v>165</v>
      </c>
      <c r="D29" s="2" t="s">
        <v>166</v>
      </c>
      <c r="E29" s="2" t="s">
        <v>167</v>
      </c>
      <c r="F29" s="2" t="n">
        <v>1</v>
      </c>
      <c r="G29" s="3" t="s">
        <v>168</v>
      </c>
      <c r="H29" s="4" t="n">
        <v>0.1732</v>
      </c>
      <c r="I29" s="5" t="n">
        <f aca="false">IF(H29="","",VALUE(SUBSTITUTE(F29,"~",""))*H29)</f>
        <v>0.1732</v>
      </c>
      <c r="J29" s="2" t="s">
        <v>18</v>
      </c>
      <c r="K29" s="3" t="s">
        <v>26</v>
      </c>
      <c r="L29" s="2" t="s">
        <v>169</v>
      </c>
    </row>
    <row r="30" customFormat="false" ht="16.4" hidden="false" customHeight="false" outlineLevel="0" collapsed="false">
      <c r="A30" s="2" t="s">
        <v>98</v>
      </c>
      <c r="B30" s="2" t="s">
        <v>170</v>
      </c>
      <c r="C30" s="2" t="s">
        <v>171</v>
      </c>
      <c r="D30" s="2" t="s">
        <v>36</v>
      </c>
      <c r="E30" s="2" t="s">
        <v>172</v>
      </c>
      <c r="F30" s="2" t="n">
        <v>2</v>
      </c>
      <c r="G30" s="3" t="s">
        <v>173</v>
      </c>
      <c r="H30" s="4" t="n">
        <v>0.2356</v>
      </c>
      <c r="I30" s="5" t="n">
        <f aca="false">IF(H30="","",VALUE(SUBSTITUTE(F30,"~",""))*H30)</f>
        <v>0.4712</v>
      </c>
      <c r="J30" s="2" t="s">
        <v>18</v>
      </c>
      <c r="K30" s="3" t="s">
        <v>109</v>
      </c>
      <c r="L30" s="2" t="s">
        <v>174</v>
      </c>
    </row>
    <row r="31" customFormat="false" ht="16.4" hidden="false" customHeight="false" outlineLevel="0" collapsed="false">
      <c r="A31" s="2" t="s">
        <v>98</v>
      </c>
      <c r="B31" s="2" t="s">
        <v>175</v>
      </c>
      <c r="C31" s="2" t="s">
        <v>176</v>
      </c>
      <c r="D31" s="2" t="s">
        <v>144</v>
      </c>
      <c r="E31" s="2" t="s">
        <v>177</v>
      </c>
      <c r="F31" s="2" t="n">
        <v>2</v>
      </c>
      <c r="G31" s="3" t="s">
        <v>178</v>
      </c>
      <c r="H31" s="4" t="n">
        <v>0.2171</v>
      </c>
      <c r="I31" s="5" t="n">
        <f aca="false">IF(H31="","",VALUE(SUBSTITUTE(F31,"~",""))*H31)</f>
        <v>0.4342</v>
      </c>
      <c r="J31" s="2" t="s">
        <v>18</v>
      </c>
      <c r="K31" s="3" t="s">
        <v>26</v>
      </c>
      <c r="L31" s="2" t="s">
        <v>179</v>
      </c>
    </row>
    <row r="32" customFormat="false" ht="16.4" hidden="false" customHeight="false" outlineLevel="0" collapsed="false">
      <c r="A32" s="2" t="s">
        <v>98</v>
      </c>
      <c r="B32" s="2" t="s">
        <v>180</v>
      </c>
      <c r="C32" s="2" t="s">
        <v>181</v>
      </c>
      <c r="D32" s="2" t="s">
        <v>36</v>
      </c>
      <c r="E32" s="2" t="s">
        <v>64</v>
      </c>
      <c r="F32" s="2" t="n">
        <v>3</v>
      </c>
      <c r="G32" s="3" t="s">
        <v>182</v>
      </c>
      <c r="H32" s="4" t="n">
        <v>0.3739</v>
      </c>
      <c r="I32" s="5" t="n">
        <f aca="false">IF(H32="","",VALUE(SUBSTITUTE(F32,"~",""))*H32)</f>
        <v>1.1217</v>
      </c>
      <c r="J32" s="2" t="s">
        <v>18</v>
      </c>
      <c r="K32" s="3" t="s">
        <v>26</v>
      </c>
      <c r="L32" s="2" t="s">
        <v>183</v>
      </c>
    </row>
    <row r="33" customFormat="false" ht="16.4" hidden="false" customHeight="false" outlineLevel="0" collapsed="false">
      <c r="A33" s="2" t="s">
        <v>98</v>
      </c>
      <c r="B33" s="2" t="s">
        <v>184</v>
      </c>
      <c r="C33" s="2" t="s">
        <v>185</v>
      </c>
      <c r="D33" s="2" t="s">
        <v>186</v>
      </c>
      <c r="E33" s="2" t="s">
        <v>187</v>
      </c>
      <c r="F33" s="2" t="n">
        <v>1</v>
      </c>
      <c r="G33" s="3" t="s">
        <v>188</v>
      </c>
      <c r="H33" s="4" t="n">
        <v>0.0547</v>
      </c>
      <c r="I33" s="5" t="n">
        <f aca="false">IF(H33="","",VALUE(SUBSTITUTE(F33,"~",""))*H33)</f>
        <v>0.0547</v>
      </c>
      <c r="J33" s="2" t="s">
        <v>18</v>
      </c>
      <c r="K33" s="3" t="s">
        <v>26</v>
      </c>
      <c r="L33" s="2" t="s">
        <v>189</v>
      </c>
    </row>
    <row r="34" customFormat="false" ht="31.3" hidden="false" customHeight="false" outlineLevel="0" collapsed="false">
      <c r="A34" s="2" t="s">
        <v>98</v>
      </c>
      <c r="B34" s="2" t="s">
        <v>190</v>
      </c>
      <c r="C34" s="2" t="s">
        <v>191</v>
      </c>
      <c r="D34" s="2" t="s">
        <v>186</v>
      </c>
      <c r="E34" s="2" t="s">
        <v>192</v>
      </c>
      <c r="F34" s="2" t="n">
        <v>1</v>
      </c>
      <c r="G34" s="3" t="s">
        <v>193</v>
      </c>
      <c r="H34" s="4" t="n">
        <v>0.0272</v>
      </c>
      <c r="I34" s="5" t="n">
        <f aca="false">IF(H34="","",VALUE(SUBSTITUTE(F34,"~",""))*H34)</f>
        <v>0.0272</v>
      </c>
      <c r="J34" s="2" t="s">
        <v>18</v>
      </c>
      <c r="K34" s="3" t="s">
        <v>26</v>
      </c>
      <c r="L34" s="2" t="s">
        <v>194</v>
      </c>
    </row>
    <row r="35" customFormat="false" ht="31.3" hidden="false" customHeight="false" outlineLevel="0" collapsed="false">
      <c r="A35" s="2" t="s">
        <v>98</v>
      </c>
      <c r="B35" s="2" t="s">
        <v>195</v>
      </c>
      <c r="C35" s="2" t="s">
        <v>196</v>
      </c>
      <c r="D35" s="2" t="s">
        <v>186</v>
      </c>
      <c r="E35" s="2" t="s">
        <v>197</v>
      </c>
      <c r="F35" s="2" t="n">
        <v>3</v>
      </c>
      <c r="G35" s="3" t="s">
        <v>198</v>
      </c>
      <c r="H35" s="4" t="n">
        <v>0.013</v>
      </c>
      <c r="I35" s="5" t="n">
        <f aca="false">IF(H35="","",VALUE(SUBSTITUTE(F35,"~",""))*H35)</f>
        <v>0.039</v>
      </c>
      <c r="J35" s="2" t="s">
        <v>18</v>
      </c>
      <c r="K35" s="3" t="s">
        <v>26</v>
      </c>
      <c r="L35" s="2" t="s">
        <v>199</v>
      </c>
    </row>
    <row r="36" customFormat="false" ht="16.4" hidden="false" customHeight="false" outlineLevel="0" collapsed="false">
      <c r="A36" s="2" t="s">
        <v>98</v>
      </c>
      <c r="B36" s="2" t="s">
        <v>200</v>
      </c>
      <c r="C36" s="2" t="s">
        <v>201</v>
      </c>
      <c r="D36" s="2" t="s">
        <v>202</v>
      </c>
      <c r="E36" s="2" t="s">
        <v>203</v>
      </c>
      <c r="F36" s="2" t="n">
        <v>1</v>
      </c>
      <c r="G36" s="3" t="s">
        <v>204</v>
      </c>
      <c r="H36" s="4" t="n">
        <v>2.402</v>
      </c>
      <c r="I36" s="5" t="n">
        <f aca="false">IF(H36="","",VALUE(SUBSTITUTE(F36,"~",""))*H36)</f>
        <v>2.402</v>
      </c>
      <c r="J36" s="2" t="s">
        <v>18</v>
      </c>
      <c r="K36" s="3" t="s">
        <v>26</v>
      </c>
      <c r="L36" s="2" t="s">
        <v>205</v>
      </c>
    </row>
    <row r="37" customFormat="false" ht="16.4" hidden="false" customHeight="false" outlineLevel="0" collapsed="false">
      <c r="A37" s="2" t="s">
        <v>206</v>
      </c>
      <c r="B37" s="2" t="s">
        <v>207</v>
      </c>
      <c r="C37" s="2" t="s">
        <v>208</v>
      </c>
      <c r="D37" s="2" t="s">
        <v>36</v>
      </c>
      <c r="E37" s="2" t="s">
        <v>209</v>
      </c>
      <c r="F37" s="2" t="n">
        <v>1</v>
      </c>
      <c r="G37" s="3" t="s">
        <v>210</v>
      </c>
      <c r="H37" s="4" t="n">
        <v>5.8447</v>
      </c>
      <c r="I37" s="5" t="n">
        <f aca="false">IF(H37="","",VALUE(SUBSTITUTE(F37,"~",""))*H37)</f>
        <v>5.8447</v>
      </c>
      <c r="J37" s="2" t="s">
        <v>18</v>
      </c>
      <c r="K37" s="3" t="s">
        <v>26</v>
      </c>
      <c r="L37" s="2" t="s">
        <v>211</v>
      </c>
    </row>
    <row r="38" customFormat="false" ht="16.4" hidden="false" customHeight="false" outlineLevel="0" collapsed="false">
      <c r="A38" s="2" t="s">
        <v>206</v>
      </c>
      <c r="B38" s="2" t="s">
        <v>212</v>
      </c>
      <c r="C38" s="2" t="s">
        <v>213</v>
      </c>
      <c r="D38" s="2" t="s">
        <v>214</v>
      </c>
      <c r="E38" s="2" t="s">
        <v>215</v>
      </c>
      <c r="F38" s="2" t="n">
        <v>1</v>
      </c>
      <c r="G38" s="3" t="s">
        <v>216</v>
      </c>
      <c r="H38" s="4" t="n">
        <v>0.8503</v>
      </c>
      <c r="I38" s="5" t="n">
        <f aca="false">IF(H38="","",VALUE(SUBSTITUTE(F38,"~",""))*H38)</f>
        <v>0.8503</v>
      </c>
      <c r="J38" s="2" t="s">
        <v>18</v>
      </c>
      <c r="K38" s="3" t="s">
        <v>26</v>
      </c>
      <c r="L38" s="2" t="s">
        <v>217</v>
      </c>
    </row>
    <row r="39" customFormat="false" ht="16.4" hidden="false" customHeight="false" outlineLevel="0" collapsed="false">
      <c r="A39" s="2" t="s">
        <v>206</v>
      </c>
      <c r="B39" s="2" t="s">
        <v>218</v>
      </c>
      <c r="C39" s="2" t="s">
        <v>219</v>
      </c>
      <c r="D39" s="2" t="s">
        <v>202</v>
      </c>
      <c r="E39" s="2" t="s">
        <v>151</v>
      </c>
      <c r="F39" s="2" t="n">
        <v>1</v>
      </c>
      <c r="G39" s="3" t="s">
        <v>220</v>
      </c>
      <c r="H39" s="4" t="n">
        <v>0.2131</v>
      </c>
      <c r="I39" s="5" t="n">
        <f aca="false">IF(H39="","",VALUE(SUBSTITUTE(F39,"~",""))*H39)</f>
        <v>0.2131</v>
      </c>
      <c r="J39" s="2" t="s">
        <v>18</v>
      </c>
      <c r="K39" s="3" t="s">
        <v>26</v>
      </c>
      <c r="L39" s="2" t="s">
        <v>221</v>
      </c>
    </row>
    <row r="40" customFormat="false" ht="16.4" hidden="false" customHeight="false" outlineLevel="0" collapsed="false">
      <c r="A40" s="2" t="s">
        <v>206</v>
      </c>
      <c r="B40" s="2" t="s">
        <v>222</v>
      </c>
      <c r="C40" s="2" t="s">
        <v>223</v>
      </c>
      <c r="D40" s="2" t="s">
        <v>166</v>
      </c>
      <c r="E40" s="2" t="s">
        <v>224</v>
      </c>
      <c r="F40" s="2" t="n">
        <v>9</v>
      </c>
      <c r="G40" s="3" t="s">
        <v>225</v>
      </c>
      <c r="H40" s="4" t="n">
        <v>0.3834</v>
      </c>
      <c r="I40" s="5" t="n">
        <f aca="false">IF(H40="","",VALUE(SUBSTITUTE(F40,"~",""))*H40)</f>
        <v>3.4506</v>
      </c>
      <c r="J40" s="2" t="s">
        <v>18</v>
      </c>
      <c r="K40" s="3" t="s">
        <v>26</v>
      </c>
      <c r="L40" s="2" t="s">
        <v>226</v>
      </c>
    </row>
    <row r="41" customFormat="false" ht="16.4" hidden="false" customHeight="false" outlineLevel="0" collapsed="false">
      <c r="A41" s="2" t="s">
        <v>206</v>
      </c>
      <c r="B41" s="2" t="s">
        <v>227</v>
      </c>
      <c r="C41" s="2" t="s">
        <v>228</v>
      </c>
      <c r="D41" s="2" t="s">
        <v>36</v>
      </c>
      <c r="E41" s="2" t="s">
        <v>64</v>
      </c>
      <c r="F41" s="2" t="n">
        <v>1</v>
      </c>
      <c r="G41" s="3" t="s">
        <v>229</v>
      </c>
      <c r="H41" s="4" t="n">
        <v>2.5955</v>
      </c>
      <c r="I41" s="5" t="n">
        <f aca="false">IF(H41="","",VALUE(SUBSTITUTE(F41,"~",""))*H41)</f>
        <v>2.5955</v>
      </c>
      <c r="J41" s="2" t="s">
        <v>18</v>
      </c>
      <c r="K41" s="3" t="s">
        <v>109</v>
      </c>
      <c r="L41" s="2" t="s">
        <v>230</v>
      </c>
    </row>
    <row r="42" customFormat="false" ht="16.4" hidden="false" customHeight="false" outlineLevel="0" collapsed="false">
      <c r="A42" s="2" t="s">
        <v>206</v>
      </c>
      <c r="B42" s="2" t="s">
        <v>231</v>
      </c>
      <c r="C42" s="2" t="s">
        <v>232</v>
      </c>
      <c r="D42" s="2" t="s">
        <v>233</v>
      </c>
      <c r="E42" s="2" t="s">
        <v>234</v>
      </c>
      <c r="F42" s="2" t="n">
        <v>1</v>
      </c>
      <c r="G42" s="3" t="s">
        <v>235</v>
      </c>
      <c r="H42" s="4" t="n">
        <v>3.4077</v>
      </c>
      <c r="I42" s="5" t="n">
        <f aca="false">IF(H42="","",VALUE(SUBSTITUTE(F42,"~",""))*H42)</f>
        <v>3.4077</v>
      </c>
      <c r="J42" s="2" t="s">
        <v>18</v>
      </c>
      <c r="K42" s="3" t="s">
        <v>26</v>
      </c>
      <c r="L42" s="2" t="s">
        <v>236</v>
      </c>
    </row>
    <row r="43" customFormat="false" ht="16.4" hidden="false" customHeight="false" outlineLevel="0" collapsed="false">
      <c r="A43" s="2" t="s">
        <v>206</v>
      </c>
      <c r="B43" s="2" t="s">
        <v>237</v>
      </c>
      <c r="C43" s="2" t="s">
        <v>238</v>
      </c>
      <c r="D43" s="2" t="s">
        <v>239</v>
      </c>
      <c r="E43" s="2" t="s">
        <v>240</v>
      </c>
      <c r="F43" s="2" t="n">
        <v>1</v>
      </c>
      <c r="G43" s="3" t="s">
        <v>241</v>
      </c>
      <c r="H43" s="4" t="n">
        <v>0.3556</v>
      </c>
      <c r="I43" s="5" t="n">
        <f aca="false">IF(H43="","",VALUE(SUBSTITUTE(F43,"~",""))*H43)</f>
        <v>0.3556</v>
      </c>
      <c r="J43" s="2" t="s">
        <v>18</v>
      </c>
      <c r="K43" s="3" t="s">
        <v>26</v>
      </c>
      <c r="L43" s="2" t="s">
        <v>242</v>
      </c>
    </row>
    <row r="44" customFormat="false" ht="16.4" hidden="false" customHeight="false" outlineLevel="0" collapsed="false">
      <c r="A44" s="2" t="s">
        <v>206</v>
      </c>
      <c r="B44" s="2" t="s">
        <v>243</v>
      </c>
      <c r="C44" s="2" t="s">
        <v>244</v>
      </c>
      <c r="D44" s="2" t="s">
        <v>245</v>
      </c>
      <c r="E44" s="2" t="s">
        <v>246</v>
      </c>
      <c r="F44" s="2" t="n">
        <v>11</v>
      </c>
      <c r="G44" s="3" t="s">
        <v>247</v>
      </c>
      <c r="H44" s="4" t="n">
        <v>0.8813</v>
      </c>
      <c r="I44" s="5" t="n">
        <f aca="false">IF(H44="","",VALUE(SUBSTITUTE(F44,"~",""))*H44)</f>
        <v>9.6943</v>
      </c>
      <c r="J44" s="2" t="s">
        <v>18</v>
      </c>
      <c r="K44" s="3" t="s">
        <v>26</v>
      </c>
      <c r="L44" s="2" t="s">
        <v>248</v>
      </c>
    </row>
    <row r="45" customFormat="false" ht="16.4" hidden="false" customHeight="false" outlineLevel="0" collapsed="false">
      <c r="A45" s="2" t="s">
        <v>206</v>
      </c>
      <c r="B45" s="2" t="s">
        <v>249</v>
      </c>
      <c r="C45" s="2" t="s">
        <v>250</v>
      </c>
      <c r="D45" s="2" t="s">
        <v>214</v>
      </c>
      <c r="E45" s="2" t="s">
        <v>251</v>
      </c>
      <c r="F45" s="2" t="n">
        <v>4</v>
      </c>
      <c r="G45" s="3" t="s">
        <v>252</v>
      </c>
      <c r="H45" s="4" t="n">
        <v>1.6621</v>
      </c>
      <c r="I45" s="5" t="n">
        <f aca="false">IF(H45="","",VALUE(SUBSTITUTE(F45,"~",""))*H45)</f>
        <v>6.6484</v>
      </c>
      <c r="J45" s="2" t="s">
        <v>18</v>
      </c>
      <c r="K45" s="3" t="s">
        <v>26</v>
      </c>
      <c r="L45" s="2" t="s">
        <v>253</v>
      </c>
    </row>
    <row r="46" customFormat="false" ht="16.4" hidden="false" customHeight="false" outlineLevel="0" collapsed="false">
      <c r="A46" s="2" t="s">
        <v>206</v>
      </c>
      <c r="B46" s="2" t="s">
        <v>254</v>
      </c>
      <c r="C46" s="2" t="s">
        <v>255</v>
      </c>
      <c r="D46" s="2" t="s">
        <v>36</v>
      </c>
      <c r="E46" s="2" t="s">
        <v>256</v>
      </c>
      <c r="F46" s="2" t="n">
        <v>1</v>
      </c>
      <c r="G46" s="3" t="s">
        <v>257</v>
      </c>
      <c r="H46" s="4" t="n">
        <v>6.4299</v>
      </c>
      <c r="I46" s="5" t="n">
        <f aca="false">IF(H46="","",VALUE(SUBSTITUTE(F46,"~",""))*H46)</f>
        <v>6.4299</v>
      </c>
      <c r="J46" s="2" t="s">
        <v>18</v>
      </c>
      <c r="K46" s="3" t="s">
        <v>109</v>
      </c>
      <c r="L46" s="2" t="s">
        <v>258</v>
      </c>
    </row>
    <row r="47" customFormat="false" ht="16.4" hidden="false" customHeight="false" outlineLevel="0" collapsed="false">
      <c r="A47" s="2" t="s">
        <v>206</v>
      </c>
      <c r="B47" s="2" t="s">
        <v>259</v>
      </c>
      <c r="C47" s="2" t="s">
        <v>260</v>
      </c>
      <c r="D47" s="2" t="s">
        <v>36</v>
      </c>
      <c r="E47" s="2" t="s">
        <v>261</v>
      </c>
      <c r="F47" s="2" t="n">
        <v>1</v>
      </c>
      <c r="G47" s="3" t="s">
        <v>262</v>
      </c>
      <c r="H47" s="4" t="n">
        <v>4.4326</v>
      </c>
      <c r="I47" s="5" t="n">
        <f aca="false">IF(H47="","",VALUE(SUBSTITUTE(F47,"~",""))*H47)</f>
        <v>4.4326</v>
      </c>
      <c r="J47" s="2" t="s">
        <v>18</v>
      </c>
      <c r="K47" s="3" t="s">
        <v>109</v>
      </c>
      <c r="L47" s="2" t="s">
        <v>263</v>
      </c>
    </row>
    <row r="48" customFormat="false" ht="16.4" hidden="false" customHeight="false" outlineLevel="0" collapsed="false">
      <c r="A48" s="2" t="s">
        <v>206</v>
      </c>
      <c r="B48" s="2" t="s">
        <v>264</v>
      </c>
      <c r="C48" s="2" t="s">
        <v>265</v>
      </c>
      <c r="D48" s="2" t="s">
        <v>36</v>
      </c>
      <c r="E48" s="2" t="s">
        <v>266</v>
      </c>
      <c r="F48" s="2" t="n">
        <v>1</v>
      </c>
      <c r="G48" s="3" t="s">
        <v>267</v>
      </c>
      <c r="H48" s="4" t="n">
        <v>1.5337</v>
      </c>
      <c r="I48" s="5" t="n">
        <f aca="false">IF(H48="","",VALUE(SUBSTITUTE(F48,"~",""))*H48)</f>
        <v>1.5337</v>
      </c>
      <c r="J48" s="2" t="s">
        <v>18</v>
      </c>
      <c r="K48" s="3" t="s">
        <v>26</v>
      </c>
      <c r="L48" s="2" t="s">
        <v>268</v>
      </c>
    </row>
    <row r="49" customFormat="false" ht="16.4" hidden="false" customHeight="false" outlineLevel="0" collapsed="false">
      <c r="A49" s="2" t="s">
        <v>206</v>
      </c>
      <c r="B49" s="2" t="s">
        <v>269</v>
      </c>
      <c r="C49" s="2" t="s">
        <v>270</v>
      </c>
      <c r="D49" s="2" t="s">
        <v>214</v>
      </c>
      <c r="E49" s="2" t="s">
        <v>271</v>
      </c>
      <c r="F49" s="2" t="n">
        <v>1</v>
      </c>
      <c r="G49" s="3" t="s">
        <v>272</v>
      </c>
      <c r="H49" s="4" t="n">
        <v>0.3662</v>
      </c>
      <c r="I49" s="5" t="n">
        <f aca="false">IF(H49="","",VALUE(SUBSTITUTE(F49,"~",""))*H49)</f>
        <v>0.3662</v>
      </c>
      <c r="J49" s="2" t="s">
        <v>18</v>
      </c>
      <c r="K49" s="3" t="s">
        <v>26</v>
      </c>
      <c r="L49" s="2" t="s">
        <v>273</v>
      </c>
    </row>
    <row r="50" customFormat="false" ht="16.4" hidden="false" customHeight="false" outlineLevel="0" collapsed="false">
      <c r="A50" s="2" t="s">
        <v>206</v>
      </c>
      <c r="B50" s="2" t="s">
        <v>274</v>
      </c>
      <c r="C50" s="2" t="s">
        <v>275</v>
      </c>
      <c r="D50" s="2" t="s">
        <v>214</v>
      </c>
      <c r="E50" s="2" t="s">
        <v>271</v>
      </c>
      <c r="F50" s="2" t="n">
        <v>1</v>
      </c>
      <c r="G50" s="3" t="s">
        <v>276</v>
      </c>
      <c r="H50" s="4" t="n">
        <v>0.1861</v>
      </c>
      <c r="I50" s="5" t="n">
        <f aca="false">IF(H50="","",VALUE(SUBSTITUTE(F50,"~",""))*H50)</f>
        <v>0.1861</v>
      </c>
      <c r="J50" s="2" t="s">
        <v>18</v>
      </c>
      <c r="K50" s="3" t="s">
        <v>26</v>
      </c>
      <c r="L50" s="2" t="s">
        <v>221</v>
      </c>
    </row>
    <row r="51" customFormat="false" ht="16.4" hidden="false" customHeight="false" outlineLevel="0" collapsed="false">
      <c r="A51" s="2" t="s">
        <v>206</v>
      </c>
      <c r="B51" s="2" t="s">
        <v>277</v>
      </c>
      <c r="C51" s="2" t="s">
        <v>278</v>
      </c>
      <c r="D51" s="2" t="s">
        <v>150</v>
      </c>
      <c r="E51" s="2" t="s">
        <v>279</v>
      </c>
      <c r="F51" s="2" t="n">
        <v>1</v>
      </c>
      <c r="G51" s="3" t="s">
        <v>280</v>
      </c>
      <c r="H51" s="4" t="n">
        <v>0.0322</v>
      </c>
      <c r="I51" s="5" t="n">
        <f aca="false">IF(H51="","",VALUE(SUBSTITUTE(F51,"~",""))*H51)</f>
        <v>0.0322</v>
      </c>
      <c r="J51" s="2" t="s">
        <v>18</v>
      </c>
      <c r="K51" s="3" t="s">
        <v>26</v>
      </c>
      <c r="L51" s="2" t="s">
        <v>281</v>
      </c>
    </row>
    <row r="52" customFormat="false" ht="31.3" hidden="false" customHeight="false" outlineLevel="0" collapsed="false">
      <c r="A52" s="2" t="s">
        <v>206</v>
      </c>
      <c r="B52" s="2" t="s">
        <v>282</v>
      </c>
      <c r="C52" s="2" t="s">
        <v>283</v>
      </c>
      <c r="D52" s="2"/>
      <c r="E52" s="2" t="s">
        <v>271</v>
      </c>
      <c r="F52" s="2" t="n">
        <v>1</v>
      </c>
      <c r="G52" s="2"/>
      <c r="H52" s="4"/>
      <c r="I52" s="5" t="str">
        <f aca="false">IF(H52="","",VALUE(SUBSTITUTE(F52,"~",""))*H52)</f>
        <v/>
      </c>
      <c r="J52" s="2" t="s">
        <v>284</v>
      </c>
      <c r="K52" s="2"/>
      <c r="L52" s="2" t="s">
        <v>285</v>
      </c>
    </row>
    <row r="53" customFormat="false" ht="16.4" hidden="false" customHeight="false" outlineLevel="0" collapsed="false">
      <c r="A53" s="2" t="s">
        <v>206</v>
      </c>
      <c r="B53" s="2" t="s">
        <v>286</v>
      </c>
      <c r="C53" s="2" t="s">
        <v>287</v>
      </c>
      <c r="D53" s="2" t="s">
        <v>36</v>
      </c>
      <c r="E53" s="2" t="s">
        <v>37</v>
      </c>
      <c r="F53" s="2" t="n">
        <v>3</v>
      </c>
      <c r="G53" s="3" t="s">
        <v>288</v>
      </c>
      <c r="H53" s="4" t="n">
        <v>0.3241</v>
      </c>
      <c r="I53" s="5" t="n">
        <f aca="false">IF(H53="","",VALUE(SUBSTITUTE(F53,"~",""))*H53)</f>
        <v>0.9723</v>
      </c>
      <c r="J53" s="2" t="s">
        <v>18</v>
      </c>
      <c r="K53" s="3" t="s">
        <v>26</v>
      </c>
      <c r="L53" s="2" t="s">
        <v>289</v>
      </c>
    </row>
    <row r="54" customFormat="false" ht="16.4" hidden="false" customHeight="false" outlineLevel="0" collapsed="false">
      <c r="A54" s="2" t="s">
        <v>206</v>
      </c>
      <c r="B54" s="2" t="s">
        <v>290</v>
      </c>
      <c r="C54" s="2" t="s">
        <v>291</v>
      </c>
      <c r="D54" s="2" t="s">
        <v>36</v>
      </c>
      <c r="E54" s="2" t="s">
        <v>37</v>
      </c>
      <c r="F54" s="2" t="n">
        <v>1</v>
      </c>
      <c r="G54" s="3" t="s">
        <v>292</v>
      </c>
      <c r="H54" s="4" t="n">
        <v>0.7449</v>
      </c>
      <c r="I54" s="5" t="n">
        <f aca="false">IF(H54="","",VALUE(SUBSTITUTE(F54,"~",""))*H54)</f>
        <v>0.7449</v>
      </c>
      <c r="J54" s="2" t="s">
        <v>18</v>
      </c>
      <c r="K54" s="3" t="s">
        <v>26</v>
      </c>
      <c r="L54" s="2" t="s">
        <v>293</v>
      </c>
    </row>
    <row r="55" customFormat="false" ht="16.4" hidden="false" customHeight="false" outlineLevel="0" collapsed="false">
      <c r="A55" s="2" t="s">
        <v>206</v>
      </c>
      <c r="B55" s="2" t="s">
        <v>294</v>
      </c>
      <c r="C55" s="2" t="s">
        <v>295</v>
      </c>
      <c r="D55" s="2" t="s">
        <v>296</v>
      </c>
      <c r="E55" s="2" t="s">
        <v>297</v>
      </c>
      <c r="F55" s="2" t="n">
        <v>1</v>
      </c>
      <c r="G55" s="3" t="s">
        <v>298</v>
      </c>
      <c r="H55" s="4" t="n">
        <v>0.0634</v>
      </c>
      <c r="I55" s="5" t="n">
        <f aca="false">IF(H55="","",VALUE(SUBSTITUTE(F55,"~",""))*H55)</f>
        <v>0.0634</v>
      </c>
      <c r="J55" s="2" t="s">
        <v>18</v>
      </c>
      <c r="K55" s="3" t="s">
        <v>26</v>
      </c>
      <c r="L55" s="2" t="s">
        <v>299</v>
      </c>
    </row>
    <row r="56" customFormat="false" ht="31.3" hidden="false" customHeight="false" outlineLevel="0" collapsed="false">
      <c r="A56" s="2" t="s">
        <v>206</v>
      </c>
      <c r="B56" s="2" t="s">
        <v>300</v>
      </c>
      <c r="C56" s="2" t="s">
        <v>283</v>
      </c>
      <c r="D56" s="2"/>
      <c r="E56" s="2"/>
      <c r="F56" s="2" t="n">
        <v>1</v>
      </c>
      <c r="G56" s="2"/>
      <c r="H56" s="4"/>
      <c r="I56" s="5" t="str">
        <f aca="false">IF(H56="","",VALUE(SUBSTITUTE(F56,"~",""))*H56)</f>
        <v/>
      </c>
      <c r="J56" s="2" t="s">
        <v>284</v>
      </c>
      <c r="K56" s="2"/>
      <c r="L56" s="2" t="s">
        <v>301</v>
      </c>
    </row>
    <row r="57" customFormat="false" ht="16.4" hidden="false" customHeight="false" outlineLevel="0" collapsed="false">
      <c r="A57" s="2" t="s">
        <v>206</v>
      </c>
      <c r="B57" s="2" t="s">
        <v>302</v>
      </c>
      <c r="C57" s="2" t="s">
        <v>303</v>
      </c>
      <c r="D57" s="2" t="s">
        <v>304</v>
      </c>
      <c r="E57" s="2" t="s">
        <v>305</v>
      </c>
      <c r="F57" s="2" t="n">
        <v>2</v>
      </c>
      <c r="G57" s="3" t="s">
        <v>306</v>
      </c>
      <c r="H57" s="4" t="n">
        <v>0.1236</v>
      </c>
      <c r="I57" s="5" t="n">
        <f aca="false">IF(H57="","",VALUE(SUBSTITUTE(F57,"~",""))*H57)</f>
        <v>0.2472</v>
      </c>
      <c r="J57" s="2" t="s">
        <v>18</v>
      </c>
      <c r="K57" s="3" t="s">
        <v>26</v>
      </c>
      <c r="L57" s="2" t="s">
        <v>307</v>
      </c>
    </row>
    <row r="58" customFormat="false" ht="16.4" hidden="false" customHeight="false" outlineLevel="0" collapsed="false">
      <c r="A58" s="2" t="s">
        <v>206</v>
      </c>
      <c r="B58" s="2" t="s">
        <v>308</v>
      </c>
      <c r="C58" s="2" t="s">
        <v>309</v>
      </c>
      <c r="D58" s="2" t="s">
        <v>36</v>
      </c>
      <c r="E58" s="2" t="s">
        <v>64</v>
      </c>
      <c r="F58" s="2" t="n">
        <v>6</v>
      </c>
      <c r="G58" s="3" t="s">
        <v>310</v>
      </c>
      <c r="H58" s="4" t="n">
        <v>0.1147</v>
      </c>
      <c r="I58" s="5" t="n">
        <f aca="false">IF(H58="","",VALUE(SUBSTITUTE(F58,"~",""))*H58)</f>
        <v>0.6882</v>
      </c>
      <c r="J58" s="2" t="s">
        <v>18</v>
      </c>
      <c r="K58" s="3" t="s">
        <v>26</v>
      </c>
      <c r="L58" s="2" t="s">
        <v>311</v>
      </c>
    </row>
    <row r="59" customFormat="false" ht="16.4" hidden="false" customHeight="false" outlineLevel="0" collapsed="false">
      <c r="A59" s="2" t="s">
        <v>206</v>
      </c>
      <c r="B59" s="2" t="s">
        <v>312</v>
      </c>
      <c r="C59" s="2" t="s">
        <v>313</v>
      </c>
      <c r="D59" s="2" t="s">
        <v>245</v>
      </c>
      <c r="E59" s="2" t="s">
        <v>314</v>
      </c>
      <c r="F59" s="2" t="n">
        <v>3</v>
      </c>
      <c r="G59" s="3" t="s">
        <v>315</v>
      </c>
      <c r="H59" s="4" t="n">
        <v>0.0521</v>
      </c>
      <c r="I59" s="5" t="n">
        <f aca="false">IF(H59="","",VALUE(SUBSTITUTE(F59,"~",""))*H59)</f>
        <v>0.1563</v>
      </c>
      <c r="J59" s="2" t="s">
        <v>18</v>
      </c>
      <c r="K59" s="3" t="s">
        <v>26</v>
      </c>
      <c r="L59" s="2" t="s">
        <v>316</v>
      </c>
    </row>
    <row r="60" customFormat="false" ht="16.4" hidden="false" customHeight="false" outlineLevel="0" collapsed="false">
      <c r="A60" s="2" t="s">
        <v>206</v>
      </c>
      <c r="B60" s="2" t="s">
        <v>317</v>
      </c>
      <c r="C60" s="2" t="s">
        <v>318</v>
      </c>
      <c r="D60" s="2" t="s">
        <v>245</v>
      </c>
      <c r="E60" s="2" t="s">
        <v>319</v>
      </c>
      <c r="F60" s="2" t="n">
        <v>1</v>
      </c>
      <c r="G60" s="3" t="s">
        <v>320</v>
      </c>
      <c r="H60" s="4" t="n">
        <v>0.0996</v>
      </c>
      <c r="I60" s="5" t="n">
        <f aca="false">IF(H60="","",VALUE(SUBSTITUTE(F60,"~",""))*H60)</f>
        <v>0.0996</v>
      </c>
      <c r="J60" s="2" t="s">
        <v>18</v>
      </c>
      <c r="K60" s="3" t="s">
        <v>26</v>
      </c>
      <c r="L60" s="2" t="s">
        <v>321</v>
      </c>
    </row>
    <row r="61" customFormat="false" ht="16.4" hidden="false" customHeight="false" outlineLevel="0" collapsed="false">
      <c r="A61" s="2" t="s">
        <v>206</v>
      </c>
      <c r="B61" s="2" t="s">
        <v>322</v>
      </c>
      <c r="C61" s="2" t="s">
        <v>323</v>
      </c>
      <c r="D61" s="2" t="s">
        <v>36</v>
      </c>
      <c r="E61" s="2" t="s">
        <v>324</v>
      </c>
      <c r="F61" s="2" t="n">
        <v>1</v>
      </c>
      <c r="G61" s="3" t="s">
        <v>325</v>
      </c>
      <c r="H61" s="4" t="n">
        <v>0.708</v>
      </c>
      <c r="I61" s="5" t="n">
        <f aca="false">IF(H61="","",VALUE(SUBSTITUTE(F61,"~",""))*H61)</f>
        <v>0.708</v>
      </c>
      <c r="J61" s="2" t="s">
        <v>18</v>
      </c>
      <c r="K61" s="3" t="s">
        <v>26</v>
      </c>
      <c r="L61" s="2" t="s">
        <v>326</v>
      </c>
    </row>
    <row r="62" customFormat="false" ht="16.4" hidden="false" customHeight="false" outlineLevel="0" collapsed="false">
      <c r="A62" s="2" t="s">
        <v>206</v>
      </c>
      <c r="B62" s="2" t="s">
        <v>327</v>
      </c>
      <c r="C62" s="2" t="s">
        <v>328</v>
      </c>
      <c r="D62" s="2" t="s">
        <v>245</v>
      </c>
      <c r="E62" s="2" t="s">
        <v>329</v>
      </c>
      <c r="F62" s="2" t="n">
        <v>1</v>
      </c>
      <c r="G62" s="3" t="s">
        <v>330</v>
      </c>
      <c r="H62" s="4" t="n">
        <v>0.1268</v>
      </c>
      <c r="I62" s="5" t="n">
        <f aca="false">IF(H62="","",VALUE(SUBSTITUTE(F62,"~",""))*H62)</f>
        <v>0.1268</v>
      </c>
      <c r="J62" s="2" t="s">
        <v>18</v>
      </c>
      <c r="K62" s="3" t="s">
        <v>26</v>
      </c>
      <c r="L62" s="2" t="s">
        <v>331</v>
      </c>
    </row>
    <row r="63" customFormat="false" ht="16.4" hidden="false" customHeight="false" outlineLevel="0" collapsed="false">
      <c r="A63" s="2" t="s">
        <v>206</v>
      </c>
      <c r="B63" s="2" t="s">
        <v>332</v>
      </c>
      <c r="C63" s="2" t="s">
        <v>333</v>
      </c>
      <c r="D63" s="2" t="s">
        <v>245</v>
      </c>
      <c r="E63" s="2" t="s">
        <v>334</v>
      </c>
      <c r="F63" s="2" t="n">
        <v>1</v>
      </c>
      <c r="G63" s="3" t="s">
        <v>335</v>
      </c>
      <c r="H63" s="4" t="n">
        <v>0.0153</v>
      </c>
      <c r="I63" s="5" t="n">
        <f aca="false">IF(H63="","",VALUE(SUBSTITUTE(F63,"~",""))*H63)</f>
        <v>0.0153</v>
      </c>
      <c r="J63" s="2" t="s">
        <v>18</v>
      </c>
      <c r="K63" s="3" t="s">
        <v>26</v>
      </c>
      <c r="L63" s="2" t="s">
        <v>336</v>
      </c>
    </row>
    <row r="64" customFormat="false" ht="16.4" hidden="false" customHeight="false" outlineLevel="0" collapsed="false">
      <c r="A64" s="2" t="s">
        <v>206</v>
      </c>
      <c r="B64" s="2" t="s">
        <v>337</v>
      </c>
      <c r="C64" s="2" t="s">
        <v>338</v>
      </c>
      <c r="D64" s="2" t="s">
        <v>296</v>
      </c>
      <c r="E64" s="2" t="s">
        <v>339</v>
      </c>
      <c r="F64" s="2" t="n">
        <v>1</v>
      </c>
      <c r="G64" s="3" t="s">
        <v>340</v>
      </c>
      <c r="H64" s="4" t="n">
        <v>0.085</v>
      </c>
      <c r="I64" s="5" t="n">
        <f aca="false">IF(H64="","",VALUE(SUBSTITUTE(F64,"~",""))*H64)</f>
        <v>0.085</v>
      </c>
      <c r="J64" s="2" t="s">
        <v>18</v>
      </c>
      <c r="K64" s="3" t="s">
        <v>26</v>
      </c>
      <c r="L64" s="2" t="s">
        <v>341</v>
      </c>
    </row>
    <row r="65" customFormat="false" ht="31.3" hidden="false" customHeight="false" outlineLevel="0" collapsed="false">
      <c r="A65" s="2" t="s">
        <v>206</v>
      </c>
      <c r="B65" s="2" t="s">
        <v>342</v>
      </c>
      <c r="C65" s="2" t="s">
        <v>283</v>
      </c>
      <c r="D65" s="2"/>
      <c r="E65" s="2" t="s">
        <v>343</v>
      </c>
      <c r="F65" s="2" t="n">
        <v>1</v>
      </c>
      <c r="G65" s="2"/>
      <c r="H65" s="4"/>
      <c r="I65" s="5" t="str">
        <f aca="false">IF(H65="","",VALUE(SUBSTITUTE(F65,"~",""))*H65)</f>
        <v/>
      </c>
      <c r="J65" s="2" t="s">
        <v>284</v>
      </c>
      <c r="K65" s="2"/>
      <c r="L65" s="2" t="s">
        <v>344</v>
      </c>
    </row>
    <row r="66" customFormat="false" ht="31.3" hidden="false" customHeight="false" outlineLevel="0" collapsed="false">
      <c r="A66" s="2" t="s">
        <v>206</v>
      </c>
      <c r="B66" s="2" t="s">
        <v>345</v>
      </c>
      <c r="C66" s="2" t="s">
        <v>283</v>
      </c>
      <c r="D66" s="2"/>
      <c r="E66" s="2" t="s">
        <v>346</v>
      </c>
      <c r="F66" s="2" t="n">
        <v>1</v>
      </c>
      <c r="G66" s="2"/>
      <c r="H66" s="4"/>
      <c r="I66" s="5" t="str">
        <f aca="false">IF(H66="","",VALUE(SUBSTITUTE(F66,"~",""))*H66)</f>
        <v/>
      </c>
      <c r="J66" s="2" t="s">
        <v>284</v>
      </c>
      <c r="K66" s="2"/>
      <c r="L66" s="2" t="s">
        <v>347</v>
      </c>
    </row>
    <row r="67" customFormat="false" ht="16.4" hidden="false" customHeight="false" outlineLevel="0" collapsed="false">
      <c r="A67" s="2" t="s">
        <v>206</v>
      </c>
      <c r="B67" s="2" t="s">
        <v>348</v>
      </c>
      <c r="C67" s="2" t="s">
        <v>349</v>
      </c>
      <c r="D67" s="2" t="s">
        <v>350</v>
      </c>
      <c r="E67" s="2" t="s">
        <v>351</v>
      </c>
      <c r="F67" s="2" t="n">
        <v>1</v>
      </c>
      <c r="G67" s="3" t="s">
        <v>352</v>
      </c>
      <c r="H67" s="4" t="n">
        <v>0.0556</v>
      </c>
      <c r="I67" s="5" t="n">
        <f aca="false">IF(H67="","",VALUE(SUBSTITUTE(F67,"~",""))*H67)</f>
        <v>0.0556</v>
      </c>
      <c r="J67" s="2" t="s">
        <v>18</v>
      </c>
      <c r="K67" s="3" t="s">
        <v>26</v>
      </c>
      <c r="L67" s="2" t="s">
        <v>353</v>
      </c>
    </row>
    <row r="68" customFormat="false" ht="31.3" hidden="false" customHeight="false" outlineLevel="0" collapsed="false">
      <c r="A68" s="2" t="s">
        <v>206</v>
      </c>
      <c r="B68" s="2" t="s">
        <v>354</v>
      </c>
      <c r="C68" s="2" t="s">
        <v>283</v>
      </c>
      <c r="D68" s="2"/>
      <c r="E68" s="2"/>
      <c r="F68" s="2" t="n">
        <v>1</v>
      </c>
      <c r="G68" s="2"/>
      <c r="H68" s="4"/>
      <c r="I68" s="5" t="str">
        <f aca="false">IF(H68="","",VALUE(SUBSTITUTE(F68,"~",""))*H68)</f>
        <v/>
      </c>
      <c r="J68" s="2" t="s">
        <v>284</v>
      </c>
      <c r="K68" s="2"/>
      <c r="L68" s="2" t="s">
        <v>355</v>
      </c>
    </row>
    <row r="69" customFormat="false" ht="31.3" hidden="false" customHeight="false" outlineLevel="0" collapsed="false">
      <c r="A69" s="2" t="s">
        <v>206</v>
      </c>
      <c r="B69" s="2" t="s">
        <v>356</v>
      </c>
      <c r="C69" s="2" t="s">
        <v>283</v>
      </c>
      <c r="D69" s="2"/>
      <c r="E69" s="2" t="s">
        <v>37</v>
      </c>
      <c r="F69" s="2" t="n">
        <v>1</v>
      </c>
      <c r="G69" s="2"/>
      <c r="H69" s="4"/>
      <c r="I69" s="5" t="str">
        <f aca="false">IF(H69="","",VALUE(SUBSTITUTE(F69,"~",""))*H69)</f>
        <v/>
      </c>
      <c r="J69" s="2" t="s">
        <v>284</v>
      </c>
      <c r="K69" s="2"/>
      <c r="L69" s="2" t="s">
        <v>357</v>
      </c>
    </row>
    <row r="70" customFormat="false" ht="16.4" hidden="false" customHeight="false" outlineLevel="0" collapsed="false">
      <c r="A70" s="2" t="s">
        <v>358</v>
      </c>
      <c r="B70" s="2" t="s">
        <v>359</v>
      </c>
      <c r="C70" s="2" t="s">
        <v>360</v>
      </c>
      <c r="D70" s="2" t="s">
        <v>36</v>
      </c>
      <c r="E70" s="2" t="s">
        <v>64</v>
      </c>
      <c r="F70" s="2" t="n">
        <v>18</v>
      </c>
      <c r="G70" s="3" t="s">
        <v>361</v>
      </c>
      <c r="H70" s="4" t="n">
        <v>1.6847</v>
      </c>
      <c r="I70" s="5" t="n">
        <f aca="false">IF(H70="","",VALUE(SUBSTITUTE(F70,"~",""))*H70)</f>
        <v>30.3246</v>
      </c>
      <c r="J70" s="2" t="s">
        <v>18</v>
      </c>
      <c r="K70" s="3" t="s">
        <v>26</v>
      </c>
      <c r="L70" s="2" t="s">
        <v>362</v>
      </c>
    </row>
    <row r="71" customFormat="false" ht="16.4" hidden="false" customHeight="false" outlineLevel="0" collapsed="false">
      <c r="A71" s="2" t="s">
        <v>358</v>
      </c>
      <c r="B71" s="2" t="s">
        <v>363</v>
      </c>
      <c r="C71" s="2" t="s">
        <v>364</v>
      </c>
      <c r="D71" s="2" t="s">
        <v>365</v>
      </c>
      <c r="E71" s="2" t="s">
        <v>366</v>
      </c>
      <c r="F71" s="2" t="n">
        <v>9</v>
      </c>
      <c r="G71" s="3" t="s">
        <v>367</v>
      </c>
      <c r="H71" s="4" t="n">
        <v>0.1224</v>
      </c>
      <c r="I71" s="5" t="n">
        <f aca="false">IF(H71="","",VALUE(SUBSTITUTE(F71,"~",""))*H71)</f>
        <v>1.1016</v>
      </c>
      <c r="J71" s="2" t="s">
        <v>18</v>
      </c>
      <c r="K71" s="3" t="s">
        <v>26</v>
      </c>
      <c r="L71" s="2" t="s">
        <v>368</v>
      </c>
    </row>
    <row r="72" customFormat="false" ht="16.4" hidden="false" customHeight="false" outlineLevel="0" collapsed="false">
      <c r="A72" s="2" t="s">
        <v>358</v>
      </c>
      <c r="B72" s="2" t="s">
        <v>369</v>
      </c>
      <c r="C72" s="2" t="s">
        <v>370</v>
      </c>
      <c r="D72" s="2" t="s">
        <v>296</v>
      </c>
      <c r="E72" s="2" t="s">
        <v>334</v>
      </c>
      <c r="F72" s="2" t="n">
        <v>18</v>
      </c>
      <c r="G72" s="3" t="s">
        <v>371</v>
      </c>
      <c r="H72" s="4" t="n">
        <v>0.0311</v>
      </c>
      <c r="I72" s="5" t="n">
        <f aca="false">IF(H72="","",VALUE(SUBSTITUTE(F72,"~",""))*H72)</f>
        <v>0.5598</v>
      </c>
      <c r="J72" s="2" t="s">
        <v>18</v>
      </c>
      <c r="K72" s="3" t="s">
        <v>26</v>
      </c>
      <c r="L72" s="2" t="s">
        <v>372</v>
      </c>
    </row>
    <row r="73" customFormat="false" ht="16.4" hidden="false" customHeight="false" outlineLevel="0" collapsed="false">
      <c r="A73" s="2" t="s">
        <v>358</v>
      </c>
      <c r="B73" s="2" t="s">
        <v>373</v>
      </c>
      <c r="C73" s="2" t="s">
        <v>374</v>
      </c>
      <c r="D73" s="2" t="s">
        <v>375</v>
      </c>
      <c r="E73" s="2" t="s">
        <v>376</v>
      </c>
      <c r="F73" s="2" t="n">
        <v>1</v>
      </c>
      <c r="G73" s="3" t="s">
        <v>377</v>
      </c>
      <c r="H73" s="4" t="n">
        <v>2.3451</v>
      </c>
      <c r="I73" s="5" t="n">
        <f aca="false">IF(H73="","",VALUE(SUBSTITUTE(F73,"~",""))*H73)</f>
        <v>2.3451</v>
      </c>
      <c r="J73" s="2" t="s">
        <v>18</v>
      </c>
      <c r="K73" s="3" t="s">
        <v>26</v>
      </c>
      <c r="L73" s="2" t="s">
        <v>378</v>
      </c>
    </row>
    <row r="74" customFormat="false" ht="16.4" hidden="false" customHeight="false" outlineLevel="0" collapsed="false">
      <c r="A74" s="2" t="s">
        <v>358</v>
      </c>
      <c r="B74" s="2" t="s">
        <v>379</v>
      </c>
      <c r="C74" s="2" t="s">
        <v>380</v>
      </c>
      <c r="D74" s="2" t="s">
        <v>36</v>
      </c>
      <c r="E74" s="2" t="s">
        <v>64</v>
      </c>
      <c r="F74" s="2" t="n">
        <v>1</v>
      </c>
      <c r="G74" s="3" t="s">
        <v>381</v>
      </c>
      <c r="H74" s="4" t="n">
        <v>0.6463</v>
      </c>
      <c r="I74" s="5" t="n">
        <f aca="false">IF(H74="","",VALUE(SUBSTITUTE(F74,"~",""))*H74)</f>
        <v>0.6463</v>
      </c>
      <c r="J74" s="2" t="s">
        <v>18</v>
      </c>
      <c r="K74" s="3" t="s">
        <v>26</v>
      </c>
      <c r="L74" s="2" t="s">
        <v>382</v>
      </c>
    </row>
    <row r="75" customFormat="false" ht="16.4" hidden="false" customHeight="false" outlineLevel="0" collapsed="false">
      <c r="A75" s="2" t="s">
        <v>358</v>
      </c>
      <c r="B75" s="2" t="s">
        <v>383</v>
      </c>
      <c r="C75" s="2" t="s">
        <v>384</v>
      </c>
      <c r="D75" s="2" t="s">
        <v>350</v>
      </c>
      <c r="E75" s="2" t="s">
        <v>351</v>
      </c>
      <c r="F75" s="2" t="n">
        <v>1</v>
      </c>
      <c r="G75" s="3" t="s">
        <v>385</v>
      </c>
      <c r="H75" s="4" t="n">
        <v>0.32</v>
      </c>
      <c r="I75" s="5" t="n">
        <f aca="false">IF(H75="","",VALUE(SUBSTITUTE(F75,"~",""))*H75)</f>
        <v>0.32</v>
      </c>
      <c r="J75" s="2" t="s">
        <v>18</v>
      </c>
      <c r="K75" s="3" t="s">
        <v>386</v>
      </c>
      <c r="L75" s="2" t="s">
        <v>387</v>
      </c>
    </row>
    <row r="76" customFormat="false" ht="16.4" hidden="false" customHeight="false" outlineLevel="0" collapsed="false">
      <c r="A76" s="2" t="s">
        <v>358</v>
      </c>
      <c r="B76" s="2" t="s">
        <v>388</v>
      </c>
      <c r="C76" s="2" t="s">
        <v>389</v>
      </c>
      <c r="D76" s="2" t="s">
        <v>36</v>
      </c>
      <c r="E76" s="2" t="s">
        <v>64</v>
      </c>
      <c r="F76" s="2" t="n">
        <v>12</v>
      </c>
      <c r="G76" s="3" t="s">
        <v>390</v>
      </c>
      <c r="H76" s="4" t="n">
        <v>0.3566</v>
      </c>
      <c r="I76" s="5" t="n">
        <f aca="false">IF(H76="","",VALUE(SUBSTITUTE(F76,"~",""))*H76)</f>
        <v>4.2792</v>
      </c>
      <c r="J76" s="2" t="s">
        <v>18</v>
      </c>
      <c r="K76" s="3" t="s">
        <v>26</v>
      </c>
      <c r="L76" s="2" t="s">
        <v>391</v>
      </c>
    </row>
    <row r="77" customFormat="false" ht="16.4" hidden="false" customHeight="false" outlineLevel="0" collapsed="false">
      <c r="A77" s="2" t="s">
        <v>358</v>
      </c>
      <c r="B77" s="2" t="s">
        <v>392</v>
      </c>
      <c r="C77" s="2" t="s">
        <v>393</v>
      </c>
      <c r="D77" s="2" t="s">
        <v>214</v>
      </c>
      <c r="E77" s="2" t="s">
        <v>394</v>
      </c>
      <c r="F77" s="2" t="n">
        <v>8</v>
      </c>
      <c r="G77" s="3" t="s">
        <v>395</v>
      </c>
      <c r="H77" s="4" t="n">
        <v>0.0607</v>
      </c>
      <c r="I77" s="5" t="n">
        <f aca="false">IF(H77="","",VALUE(SUBSTITUTE(F77,"~",""))*H77)</f>
        <v>0.4856</v>
      </c>
      <c r="J77" s="2" t="s">
        <v>18</v>
      </c>
      <c r="K77" s="3" t="s">
        <v>26</v>
      </c>
      <c r="L77" s="2" t="s">
        <v>396</v>
      </c>
    </row>
    <row r="78" customFormat="false" ht="16.4" hidden="false" customHeight="false" outlineLevel="0" collapsed="false">
      <c r="A78" s="2" t="s">
        <v>358</v>
      </c>
      <c r="B78" s="2" t="s">
        <v>397</v>
      </c>
      <c r="C78" s="2" t="s">
        <v>398</v>
      </c>
      <c r="D78" s="2" t="s">
        <v>245</v>
      </c>
      <c r="E78" s="2" t="s">
        <v>334</v>
      </c>
      <c r="F78" s="2" t="n">
        <v>8</v>
      </c>
      <c r="G78" s="3" t="s">
        <v>399</v>
      </c>
      <c r="H78" s="4" t="n">
        <v>0.0119</v>
      </c>
      <c r="I78" s="5" t="n">
        <f aca="false">IF(H78="","",VALUE(SUBSTITUTE(F78,"~",""))*H78)</f>
        <v>0.0952</v>
      </c>
      <c r="J78" s="2" t="s">
        <v>18</v>
      </c>
      <c r="K78" s="3" t="s">
        <v>26</v>
      </c>
      <c r="L78" s="2" t="s">
        <v>400</v>
      </c>
    </row>
    <row r="79" customFormat="false" ht="16.4" hidden="false" customHeight="false" outlineLevel="0" collapsed="false">
      <c r="A79" s="2" t="s">
        <v>358</v>
      </c>
      <c r="B79" s="2" t="s">
        <v>401</v>
      </c>
      <c r="C79" s="2" t="s">
        <v>402</v>
      </c>
      <c r="D79" s="2" t="s">
        <v>365</v>
      </c>
      <c r="E79" s="2" t="s">
        <v>334</v>
      </c>
      <c r="F79" s="2" t="n">
        <v>1</v>
      </c>
      <c r="G79" s="3" t="s">
        <v>403</v>
      </c>
      <c r="H79" s="4" t="n">
        <v>0.1874</v>
      </c>
      <c r="I79" s="5" t="n">
        <f aca="false">IF(H79="","",VALUE(SUBSTITUTE(F79,"~",""))*H79)</f>
        <v>0.1874</v>
      </c>
      <c r="J79" s="2" t="s">
        <v>18</v>
      </c>
      <c r="K79" s="3" t="s">
        <v>26</v>
      </c>
      <c r="L79" s="2" t="s">
        <v>404</v>
      </c>
    </row>
    <row r="80" customFormat="false" ht="16.4" hidden="false" customHeight="false" outlineLevel="0" collapsed="false">
      <c r="A80" s="2" t="s">
        <v>358</v>
      </c>
      <c r="B80" s="2" t="s">
        <v>405</v>
      </c>
      <c r="C80" s="2" t="s">
        <v>406</v>
      </c>
      <c r="D80" s="2" t="s">
        <v>245</v>
      </c>
      <c r="E80" s="2" t="s">
        <v>407</v>
      </c>
      <c r="F80" s="2" t="n">
        <v>1</v>
      </c>
      <c r="G80" s="3" t="s">
        <v>408</v>
      </c>
      <c r="H80" s="4" t="n">
        <v>0.2876</v>
      </c>
      <c r="I80" s="5" t="n">
        <f aca="false">IF(H80="","",VALUE(SUBSTITUTE(F80,"~",""))*H80)</f>
        <v>0.2876</v>
      </c>
      <c r="J80" s="2" t="s">
        <v>18</v>
      </c>
      <c r="K80" s="3" t="s">
        <v>26</v>
      </c>
      <c r="L80" s="2" t="s">
        <v>409</v>
      </c>
    </row>
    <row r="81" customFormat="false" ht="16.4" hidden="false" customHeight="false" outlineLevel="0" collapsed="false">
      <c r="A81" s="2" t="s">
        <v>358</v>
      </c>
      <c r="B81" s="2" t="s">
        <v>410</v>
      </c>
      <c r="C81" s="2" t="s">
        <v>411</v>
      </c>
      <c r="D81" s="2" t="s">
        <v>304</v>
      </c>
      <c r="E81" s="2" t="s">
        <v>412</v>
      </c>
      <c r="F81" s="2" t="n">
        <v>1</v>
      </c>
      <c r="G81" s="3" t="s">
        <v>413</v>
      </c>
      <c r="H81" s="4" t="n">
        <v>0.1312</v>
      </c>
      <c r="I81" s="5" t="n">
        <f aca="false">IF(H81="","",VALUE(SUBSTITUTE(F81,"~",""))*H81)</f>
        <v>0.1312</v>
      </c>
      <c r="J81" s="2" t="s">
        <v>18</v>
      </c>
      <c r="K81" s="3" t="s">
        <v>26</v>
      </c>
      <c r="L81" s="2" t="s">
        <v>414</v>
      </c>
    </row>
    <row r="82" customFormat="false" ht="16.4" hidden="false" customHeight="false" outlineLevel="0" collapsed="false">
      <c r="A82" s="2" t="s">
        <v>358</v>
      </c>
      <c r="B82" s="2" t="s">
        <v>415</v>
      </c>
      <c r="C82" s="2" t="s">
        <v>416</v>
      </c>
      <c r="D82" s="2" t="s">
        <v>36</v>
      </c>
      <c r="E82" s="2" t="s">
        <v>37</v>
      </c>
      <c r="F82" s="2" t="n">
        <v>1</v>
      </c>
      <c r="G82" s="3" t="s">
        <v>417</v>
      </c>
      <c r="H82" s="4" t="n">
        <v>0.091</v>
      </c>
      <c r="I82" s="5" t="n">
        <f aca="false">IF(H82="","",VALUE(SUBSTITUTE(F82,"~",""))*H82)</f>
        <v>0.091</v>
      </c>
      <c r="J82" s="2" t="s">
        <v>18</v>
      </c>
      <c r="K82" s="3" t="s">
        <v>26</v>
      </c>
      <c r="L82" s="2" t="s">
        <v>418</v>
      </c>
    </row>
    <row r="83" customFormat="false" ht="16.4" hidden="false" customHeight="false" outlineLevel="0" collapsed="false">
      <c r="A83" s="2" t="s">
        <v>358</v>
      </c>
      <c r="B83" s="2" t="s">
        <v>419</v>
      </c>
      <c r="C83" s="2" t="s">
        <v>181</v>
      </c>
      <c r="D83" s="2" t="s">
        <v>36</v>
      </c>
      <c r="E83" s="2" t="s">
        <v>64</v>
      </c>
      <c r="F83" s="2" t="n">
        <v>2</v>
      </c>
      <c r="G83" s="3" t="s">
        <v>182</v>
      </c>
      <c r="H83" s="4" t="n">
        <v>0.3739</v>
      </c>
      <c r="I83" s="5" t="n">
        <f aca="false">IF(H83="","",VALUE(SUBSTITUTE(F83,"~",""))*H83)</f>
        <v>0.7478</v>
      </c>
      <c r="J83" s="2" t="s">
        <v>18</v>
      </c>
      <c r="K83" s="3" t="s">
        <v>26</v>
      </c>
      <c r="L83" s="2" t="s">
        <v>420</v>
      </c>
    </row>
    <row r="84" customFormat="false" ht="31.3" hidden="false" customHeight="false" outlineLevel="0" collapsed="false">
      <c r="A84" s="2" t="s">
        <v>358</v>
      </c>
      <c r="B84" s="2" t="s">
        <v>421</v>
      </c>
      <c r="C84" s="2" t="s">
        <v>283</v>
      </c>
      <c r="D84" s="2"/>
      <c r="E84" s="2" t="s">
        <v>351</v>
      </c>
      <c r="F84" s="2" t="n">
        <v>1</v>
      </c>
      <c r="G84" s="2"/>
      <c r="H84" s="4"/>
      <c r="I84" s="5" t="str">
        <f aca="false">IF(H84="","",VALUE(SUBSTITUTE(F84,"~",""))*H84)</f>
        <v/>
      </c>
      <c r="J84" s="2" t="s">
        <v>284</v>
      </c>
      <c r="K84" s="2"/>
      <c r="L84" s="2" t="s">
        <v>422</v>
      </c>
    </row>
    <row r="85" customFormat="false" ht="31.3" hidden="false" customHeight="false" outlineLevel="0" collapsed="false">
      <c r="A85" s="2" t="s">
        <v>358</v>
      </c>
      <c r="B85" s="2" t="s">
        <v>423</v>
      </c>
      <c r="C85" s="2" t="s">
        <v>424</v>
      </c>
      <c r="D85" s="2" t="s">
        <v>425</v>
      </c>
      <c r="E85" s="2" t="s">
        <v>426</v>
      </c>
      <c r="F85" s="2" t="n">
        <v>1</v>
      </c>
      <c r="G85" s="3" t="s">
        <v>427</v>
      </c>
      <c r="H85" s="4" t="n">
        <v>8.0596</v>
      </c>
      <c r="I85" s="5" t="n">
        <f aca="false">IF(H85="","",VALUE(SUBSTITUTE(F85,"~",""))*H85)</f>
        <v>8.0596</v>
      </c>
      <c r="J85" s="2" t="s">
        <v>18</v>
      </c>
      <c r="K85" s="3" t="s">
        <v>428</v>
      </c>
      <c r="L85" s="2" t="s">
        <v>429</v>
      </c>
    </row>
    <row r="86" customFormat="false" ht="16.4" hidden="false" customHeight="false" outlineLevel="0" collapsed="false">
      <c r="A86" s="2" t="s">
        <v>358</v>
      </c>
      <c r="B86" s="2" t="s">
        <v>430</v>
      </c>
      <c r="C86" s="2" t="s">
        <v>431</v>
      </c>
      <c r="D86" s="2" t="s">
        <v>36</v>
      </c>
      <c r="E86" s="2" t="s">
        <v>74</v>
      </c>
      <c r="F86" s="2" t="n">
        <v>1</v>
      </c>
      <c r="G86" s="3" t="s">
        <v>432</v>
      </c>
      <c r="H86" s="4" t="n">
        <v>1.7386</v>
      </c>
      <c r="I86" s="5" t="n">
        <f aca="false">IF(H86="","",VALUE(SUBSTITUTE(F86,"~",""))*H86)</f>
        <v>1.7386</v>
      </c>
      <c r="J86" s="2" t="s">
        <v>18</v>
      </c>
      <c r="K86" s="3" t="s">
        <v>109</v>
      </c>
      <c r="L86" s="2" t="s">
        <v>433</v>
      </c>
    </row>
    <row r="87" customFormat="false" ht="16.4" hidden="false" customHeight="false" outlineLevel="0" collapsed="false">
      <c r="A87" s="2" t="s">
        <v>358</v>
      </c>
      <c r="B87" s="2" t="s">
        <v>434</v>
      </c>
      <c r="C87" s="2" t="s">
        <v>435</v>
      </c>
      <c r="D87" s="2" t="s">
        <v>436</v>
      </c>
      <c r="E87" s="2" t="s">
        <v>334</v>
      </c>
      <c r="F87" s="2" t="n">
        <v>1</v>
      </c>
      <c r="G87" s="3" t="s">
        <v>437</v>
      </c>
      <c r="H87" s="4" t="n">
        <v>0.0167</v>
      </c>
      <c r="I87" s="5" t="n">
        <f aca="false">IF(H87="","",VALUE(SUBSTITUTE(F87,"~",""))*H87)</f>
        <v>0.0167</v>
      </c>
      <c r="J87" s="2" t="s">
        <v>18</v>
      </c>
      <c r="K87" s="3" t="s">
        <v>26</v>
      </c>
      <c r="L87" s="2" t="s">
        <v>438</v>
      </c>
    </row>
    <row r="88" customFormat="false" ht="16.4" hidden="false" customHeight="false" outlineLevel="0" collapsed="false">
      <c r="A88" s="2" t="s">
        <v>358</v>
      </c>
      <c r="B88" s="2" t="s">
        <v>439</v>
      </c>
      <c r="C88" s="2" t="s">
        <v>440</v>
      </c>
      <c r="D88" s="2" t="s">
        <v>36</v>
      </c>
      <c r="E88" s="2" t="s">
        <v>64</v>
      </c>
      <c r="F88" s="2" t="n">
        <v>3</v>
      </c>
      <c r="G88" s="3" t="s">
        <v>441</v>
      </c>
      <c r="H88" s="4" t="n">
        <v>0.3902</v>
      </c>
      <c r="I88" s="5" t="n">
        <f aca="false">IF(H88="","",VALUE(SUBSTITUTE(F88,"~",""))*H88)</f>
        <v>1.1706</v>
      </c>
      <c r="J88" s="2" t="s">
        <v>18</v>
      </c>
      <c r="K88" s="3" t="s">
        <v>26</v>
      </c>
      <c r="L88" s="2" t="s">
        <v>442</v>
      </c>
    </row>
    <row r="89" customFormat="false" ht="31.3" hidden="false" customHeight="false" outlineLevel="0" collapsed="false">
      <c r="A89" s="2" t="s">
        <v>443</v>
      </c>
      <c r="B89" s="2" t="s">
        <v>444</v>
      </c>
      <c r="C89" s="2" t="s">
        <v>445</v>
      </c>
      <c r="D89" s="2" t="s">
        <v>36</v>
      </c>
      <c r="E89" s="2" t="s">
        <v>74</v>
      </c>
      <c r="F89" s="2" t="n">
        <v>1</v>
      </c>
      <c r="G89" s="3" t="s">
        <v>446</v>
      </c>
      <c r="H89" s="4" t="n">
        <v>1.128</v>
      </c>
      <c r="I89" s="5" t="n">
        <f aca="false">IF(H89="","",VALUE(SUBSTITUTE(F89,"~",""))*H89)</f>
        <v>1.128</v>
      </c>
      <c r="J89" s="2" t="s">
        <v>18</v>
      </c>
      <c r="K89" s="3" t="s">
        <v>26</v>
      </c>
      <c r="L89" s="2" t="s">
        <v>447</v>
      </c>
    </row>
    <row r="90" customFormat="false" ht="31.3" hidden="false" customHeight="false" outlineLevel="0" collapsed="false">
      <c r="A90" s="2" t="s">
        <v>443</v>
      </c>
      <c r="B90" s="2" t="s">
        <v>448</v>
      </c>
      <c r="C90" s="2" t="s">
        <v>449</v>
      </c>
      <c r="D90" s="2" t="s">
        <v>450</v>
      </c>
      <c r="E90" s="2" t="s">
        <v>451</v>
      </c>
      <c r="F90" s="2" t="n">
        <v>1</v>
      </c>
      <c r="G90" s="3" t="s">
        <v>452</v>
      </c>
      <c r="H90" s="4" t="n">
        <v>0.3691</v>
      </c>
      <c r="I90" s="5" t="n">
        <f aca="false">IF(H90="","",VALUE(SUBSTITUTE(F90,"~",""))*H90)</f>
        <v>0.3691</v>
      </c>
      <c r="J90" s="2" t="s">
        <v>18</v>
      </c>
      <c r="K90" s="3" t="s">
        <v>26</v>
      </c>
      <c r="L90" s="2" t="s">
        <v>453</v>
      </c>
    </row>
    <row r="91" customFormat="false" ht="31.3" hidden="false" customHeight="false" outlineLevel="0" collapsed="false">
      <c r="A91" s="2" t="s">
        <v>443</v>
      </c>
      <c r="B91" s="2" t="s">
        <v>454</v>
      </c>
      <c r="C91" s="2" t="s">
        <v>455</v>
      </c>
      <c r="D91" s="2" t="s">
        <v>456</v>
      </c>
      <c r="E91" s="2" t="s">
        <v>457</v>
      </c>
      <c r="F91" s="2" t="n">
        <v>1</v>
      </c>
      <c r="G91" s="3" t="s">
        <v>458</v>
      </c>
      <c r="H91" s="4" t="n">
        <v>0.2099</v>
      </c>
      <c r="I91" s="5" t="n">
        <f aca="false">IF(H91="","",VALUE(SUBSTITUTE(F91,"~",""))*H91)</f>
        <v>0.2099</v>
      </c>
      <c r="J91" s="2" t="s">
        <v>18</v>
      </c>
      <c r="K91" s="3" t="s">
        <v>26</v>
      </c>
      <c r="L91" s="2" t="s">
        <v>459</v>
      </c>
    </row>
    <row r="92" customFormat="false" ht="31.3" hidden="false" customHeight="false" outlineLevel="0" collapsed="false">
      <c r="A92" s="2" t="s">
        <v>443</v>
      </c>
      <c r="B92" s="2" t="s">
        <v>460</v>
      </c>
      <c r="C92" s="2" t="s">
        <v>461</v>
      </c>
      <c r="D92" s="2" t="s">
        <v>36</v>
      </c>
      <c r="E92" s="2" t="s">
        <v>462</v>
      </c>
      <c r="F92" s="2" t="n">
        <v>1</v>
      </c>
      <c r="G92" s="3" t="s">
        <v>463</v>
      </c>
      <c r="H92" s="4" t="n">
        <v>0.3235</v>
      </c>
      <c r="I92" s="5" t="n">
        <f aca="false">IF(H92="","",VALUE(SUBSTITUTE(F92,"~",""))*H92)</f>
        <v>0.3235</v>
      </c>
      <c r="J92" s="2" t="s">
        <v>18</v>
      </c>
      <c r="K92" s="3" t="s">
        <v>26</v>
      </c>
      <c r="L92" s="2" t="s">
        <v>464</v>
      </c>
    </row>
    <row r="93" customFormat="false" ht="31.3" hidden="false" customHeight="false" outlineLevel="0" collapsed="false">
      <c r="A93" s="2" t="s">
        <v>443</v>
      </c>
      <c r="B93" s="2" t="s">
        <v>465</v>
      </c>
      <c r="C93" s="2" t="s">
        <v>466</v>
      </c>
      <c r="D93" s="2" t="s">
        <v>467</v>
      </c>
      <c r="E93" s="2" t="s">
        <v>297</v>
      </c>
      <c r="F93" s="2" t="n">
        <v>1</v>
      </c>
      <c r="G93" s="3" t="s">
        <v>468</v>
      </c>
      <c r="H93" s="4" t="n">
        <v>0.0196</v>
      </c>
      <c r="I93" s="5" t="n">
        <f aca="false">IF(H93="","",VALUE(SUBSTITUTE(F93,"~",""))*H93)</f>
        <v>0.0196</v>
      </c>
      <c r="J93" s="2" t="s">
        <v>18</v>
      </c>
      <c r="K93" s="3" t="s">
        <v>26</v>
      </c>
      <c r="L93" s="2" t="s">
        <v>469</v>
      </c>
    </row>
    <row r="94" customFormat="false" ht="31.3" hidden="false" customHeight="false" outlineLevel="0" collapsed="false">
      <c r="A94" s="2" t="s">
        <v>443</v>
      </c>
      <c r="B94" s="2" t="s">
        <v>470</v>
      </c>
      <c r="C94" s="2" t="s">
        <v>471</v>
      </c>
      <c r="D94" s="2" t="s">
        <v>42</v>
      </c>
      <c r="E94" s="2" t="s">
        <v>472</v>
      </c>
      <c r="F94" s="2" t="n">
        <v>1</v>
      </c>
      <c r="G94" s="2" t="s">
        <v>473</v>
      </c>
      <c r="H94" s="4" t="n">
        <v>0.0573</v>
      </c>
      <c r="I94" s="5" t="n">
        <f aca="false">IF(H94="","",VALUE(SUBSTITUTE(F94,"~",""))*H94)</f>
        <v>0.0573</v>
      </c>
      <c r="J94" s="2" t="s">
        <v>45</v>
      </c>
      <c r="K94" s="3" t="s">
        <v>26</v>
      </c>
      <c r="L94" s="2" t="s">
        <v>474</v>
      </c>
    </row>
    <row r="95" customFormat="false" ht="31.3" hidden="false" customHeight="false" outlineLevel="0" collapsed="false">
      <c r="A95" s="2" t="s">
        <v>443</v>
      </c>
      <c r="B95" s="2" t="s">
        <v>475</v>
      </c>
      <c r="C95" s="2" t="s">
        <v>181</v>
      </c>
      <c r="D95" s="2" t="s">
        <v>36</v>
      </c>
      <c r="E95" s="2" t="s">
        <v>64</v>
      </c>
      <c r="F95" s="2" t="n">
        <v>2</v>
      </c>
      <c r="G95" s="3" t="s">
        <v>182</v>
      </c>
      <c r="H95" s="4" t="n">
        <v>0.3739</v>
      </c>
      <c r="I95" s="5" t="n">
        <f aca="false">IF(H95="","",VALUE(SUBSTITUTE(F95,"~",""))*H95)</f>
        <v>0.7478</v>
      </c>
      <c r="J95" s="2" t="s">
        <v>18</v>
      </c>
      <c r="K95" s="3" t="s">
        <v>26</v>
      </c>
      <c r="L95" s="2" t="s">
        <v>420</v>
      </c>
    </row>
    <row r="96" customFormat="false" ht="31.3" hidden="false" customHeight="false" outlineLevel="0" collapsed="false">
      <c r="A96" s="2" t="s">
        <v>443</v>
      </c>
      <c r="B96" s="2" t="s">
        <v>476</v>
      </c>
      <c r="C96" s="2" t="s">
        <v>477</v>
      </c>
      <c r="D96" s="2" t="s">
        <v>478</v>
      </c>
      <c r="E96" s="2" t="s">
        <v>479</v>
      </c>
      <c r="F96" s="2" t="n">
        <v>1</v>
      </c>
      <c r="G96" s="3" t="s">
        <v>480</v>
      </c>
      <c r="H96" s="4" t="n">
        <v>1.3356</v>
      </c>
      <c r="I96" s="5" t="n">
        <f aca="false">IF(H96="","",VALUE(SUBSTITUTE(F96,"~",""))*H96)</f>
        <v>1.3356</v>
      </c>
      <c r="J96" s="2" t="s">
        <v>18</v>
      </c>
      <c r="K96" s="3" t="s">
        <v>26</v>
      </c>
      <c r="L96" s="2" t="s">
        <v>481</v>
      </c>
    </row>
    <row r="97" customFormat="false" ht="31.3" hidden="false" customHeight="false" outlineLevel="0" collapsed="false">
      <c r="A97" s="2" t="s">
        <v>443</v>
      </c>
      <c r="B97" s="2" t="s">
        <v>482</v>
      </c>
      <c r="C97" s="2" t="s">
        <v>483</v>
      </c>
      <c r="D97" s="2" t="s">
        <v>484</v>
      </c>
      <c r="E97" s="2" t="s">
        <v>485</v>
      </c>
      <c r="F97" s="2" t="n">
        <v>1</v>
      </c>
      <c r="G97" s="2" t="s">
        <v>486</v>
      </c>
      <c r="H97" s="4" t="n">
        <v>2.0915</v>
      </c>
      <c r="I97" s="5" t="n">
        <f aca="false">IF(H97="","",VALUE(SUBSTITUTE(F97,"~",""))*H97)</f>
        <v>2.0915</v>
      </c>
      <c r="J97" s="2" t="s">
        <v>45</v>
      </c>
      <c r="K97" s="2"/>
      <c r="L97" s="2" t="s">
        <v>487</v>
      </c>
    </row>
    <row r="98" customFormat="false" ht="31.3" hidden="false" customHeight="false" outlineLevel="0" collapsed="false">
      <c r="A98" s="2" t="s">
        <v>443</v>
      </c>
      <c r="B98" s="2" t="s">
        <v>488</v>
      </c>
      <c r="C98" s="2" t="s">
        <v>489</v>
      </c>
      <c r="D98" s="2" t="s">
        <v>490</v>
      </c>
      <c r="E98" s="2" t="s">
        <v>491</v>
      </c>
      <c r="F98" s="2" t="n">
        <v>1</v>
      </c>
      <c r="G98" s="3" t="s">
        <v>492</v>
      </c>
      <c r="H98" s="4" t="n">
        <v>0.5496</v>
      </c>
      <c r="I98" s="5" t="n">
        <f aca="false">IF(H98="","",VALUE(SUBSTITUTE(F98,"~",""))*H98)</f>
        <v>0.5496</v>
      </c>
      <c r="J98" s="2" t="s">
        <v>18</v>
      </c>
      <c r="K98" s="3" t="s">
        <v>26</v>
      </c>
      <c r="L98" s="2" t="s">
        <v>493</v>
      </c>
    </row>
    <row r="99" customFormat="false" ht="31.3" hidden="false" customHeight="false" outlineLevel="0" collapsed="false">
      <c r="A99" s="2" t="s">
        <v>443</v>
      </c>
      <c r="B99" s="2" t="s">
        <v>494</v>
      </c>
      <c r="C99" s="2" t="s">
        <v>495</v>
      </c>
      <c r="D99" s="2" t="s">
        <v>36</v>
      </c>
      <c r="E99" s="2" t="s">
        <v>256</v>
      </c>
      <c r="F99" s="2" t="n">
        <v>1</v>
      </c>
      <c r="G99" s="3" t="s">
        <v>496</v>
      </c>
      <c r="H99" s="4" t="n">
        <v>1.2408</v>
      </c>
      <c r="I99" s="5" t="n">
        <f aca="false">IF(H99="","",VALUE(SUBSTITUTE(F99,"~",""))*H99)</f>
        <v>1.2408</v>
      </c>
      <c r="J99" s="2" t="s">
        <v>18</v>
      </c>
      <c r="K99" s="3" t="s">
        <v>26</v>
      </c>
      <c r="L99" s="2" t="s">
        <v>497</v>
      </c>
    </row>
    <row r="100" customFormat="false" ht="31.3" hidden="false" customHeight="false" outlineLevel="0" collapsed="false">
      <c r="A100" s="2" t="s">
        <v>443</v>
      </c>
      <c r="B100" s="2" t="s">
        <v>498</v>
      </c>
      <c r="C100" s="2" t="s">
        <v>499</v>
      </c>
      <c r="D100" s="2" t="s">
        <v>500</v>
      </c>
      <c r="E100" s="2" t="s">
        <v>501</v>
      </c>
      <c r="F100" s="2" t="n">
        <v>1</v>
      </c>
      <c r="G100" s="2"/>
      <c r="H100" s="4"/>
      <c r="I100" s="5" t="str">
        <f aca="false">IF(H100="","",VALUE(SUBSTITUTE(F100,"~",""))*H100)</f>
        <v/>
      </c>
      <c r="J100" s="2" t="s">
        <v>502</v>
      </c>
      <c r="K100" s="2"/>
      <c r="L100" s="2" t="s">
        <v>503</v>
      </c>
    </row>
    <row r="101" customFormat="false" ht="31.3" hidden="false" customHeight="false" outlineLevel="0" collapsed="false">
      <c r="A101" s="2" t="s">
        <v>443</v>
      </c>
      <c r="B101" s="2" t="s">
        <v>504</v>
      </c>
      <c r="C101" s="2" t="s">
        <v>505</v>
      </c>
      <c r="D101" s="2" t="s">
        <v>506</v>
      </c>
      <c r="E101" s="2" t="s">
        <v>507</v>
      </c>
      <c r="F101" s="2" t="n">
        <v>1</v>
      </c>
      <c r="G101" s="3" t="s">
        <v>508</v>
      </c>
      <c r="H101" s="4" t="n">
        <v>3.2083</v>
      </c>
      <c r="I101" s="5" t="n">
        <f aca="false">IF(H101="","",VALUE(SUBSTITUTE(F101,"~",""))*H101)</f>
        <v>3.2083</v>
      </c>
      <c r="J101" s="2" t="s">
        <v>18</v>
      </c>
      <c r="K101" s="3" t="s">
        <v>26</v>
      </c>
      <c r="L101" s="2" t="s">
        <v>509</v>
      </c>
    </row>
    <row r="102" customFormat="false" ht="31.3" hidden="false" customHeight="false" outlineLevel="0" collapsed="false">
      <c r="A102" s="2" t="s">
        <v>443</v>
      </c>
      <c r="B102" s="2" t="s">
        <v>510</v>
      </c>
      <c r="C102" s="2" t="s">
        <v>511</v>
      </c>
      <c r="D102" s="2" t="s">
        <v>512</v>
      </c>
      <c r="E102" s="2" t="s">
        <v>513</v>
      </c>
      <c r="F102" s="2" t="n">
        <v>1</v>
      </c>
      <c r="G102" s="3" t="s">
        <v>514</v>
      </c>
      <c r="H102" s="4" t="n">
        <v>0.144</v>
      </c>
      <c r="I102" s="5" t="n">
        <f aca="false">IF(H102="","",VALUE(SUBSTITUTE(F102,"~",""))*H102)</f>
        <v>0.144</v>
      </c>
      <c r="J102" s="2" t="s">
        <v>18</v>
      </c>
      <c r="K102" s="3" t="s">
        <v>26</v>
      </c>
      <c r="L102" s="2" t="s">
        <v>515</v>
      </c>
    </row>
    <row r="103" customFormat="false" ht="31.3" hidden="false" customHeight="false" outlineLevel="0" collapsed="false">
      <c r="A103" s="2" t="s">
        <v>443</v>
      </c>
      <c r="B103" s="2" t="s">
        <v>516</v>
      </c>
      <c r="C103" s="2"/>
      <c r="D103" s="2"/>
      <c r="E103" s="2" t="s">
        <v>517</v>
      </c>
      <c r="F103" s="2" t="n">
        <v>1</v>
      </c>
      <c r="G103" s="2"/>
      <c r="H103" s="4"/>
      <c r="I103" s="5" t="str">
        <f aca="false">IF(H103="","",VALUE(SUBSTITUTE(F103,"~",""))*H103)</f>
        <v/>
      </c>
      <c r="J103" s="2" t="s">
        <v>284</v>
      </c>
      <c r="K103" s="2"/>
      <c r="L103" s="2" t="s">
        <v>518</v>
      </c>
    </row>
    <row r="104" customFormat="false" ht="31.3" hidden="false" customHeight="false" outlineLevel="0" collapsed="false">
      <c r="A104" s="2" t="s">
        <v>443</v>
      </c>
      <c r="B104" s="2" t="s">
        <v>519</v>
      </c>
      <c r="C104" s="2" t="s">
        <v>520</v>
      </c>
      <c r="D104" s="2" t="s">
        <v>365</v>
      </c>
      <c r="E104" s="2" t="s">
        <v>521</v>
      </c>
      <c r="F104" s="2" t="n">
        <v>1</v>
      </c>
      <c r="G104" s="3" t="s">
        <v>522</v>
      </c>
      <c r="H104" s="4" t="n">
        <v>1.4689</v>
      </c>
      <c r="I104" s="5" t="n">
        <f aca="false">IF(H104="","",VALUE(SUBSTITUTE(F104,"~",""))*H104)</f>
        <v>1.4689</v>
      </c>
      <c r="J104" s="2" t="s">
        <v>18</v>
      </c>
      <c r="K104" s="3" t="s">
        <v>26</v>
      </c>
      <c r="L104" s="2" t="s">
        <v>523</v>
      </c>
    </row>
    <row r="105" customFormat="false" ht="31.3" hidden="false" customHeight="false" outlineLevel="0" collapsed="false">
      <c r="A105" s="2" t="s">
        <v>443</v>
      </c>
      <c r="B105" s="2" t="s">
        <v>524</v>
      </c>
      <c r="C105" s="2" t="s">
        <v>525</v>
      </c>
      <c r="D105" s="2" t="s">
        <v>214</v>
      </c>
      <c r="E105" s="2" t="s">
        <v>526</v>
      </c>
      <c r="F105" s="2" t="n">
        <v>1</v>
      </c>
      <c r="G105" s="3" t="s">
        <v>527</v>
      </c>
      <c r="H105" s="4" t="n">
        <v>2.1369</v>
      </c>
      <c r="I105" s="5" t="n">
        <f aca="false">IF(H105="","",VALUE(SUBSTITUTE(F105,"~",""))*H105)</f>
        <v>2.1369</v>
      </c>
      <c r="J105" s="2" t="s">
        <v>18</v>
      </c>
      <c r="K105" s="3" t="s">
        <v>26</v>
      </c>
      <c r="L105" s="2" t="s">
        <v>528</v>
      </c>
    </row>
    <row r="106" customFormat="false" ht="31.3" hidden="false" customHeight="false" outlineLevel="0" collapsed="false">
      <c r="A106" s="2" t="s">
        <v>443</v>
      </c>
      <c r="B106" s="2" t="s">
        <v>529</v>
      </c>
      <c r="C106" s="2" t="s">
        <v>530</v>
      </c>
      <c r="D106" s="2" t="s">
        <v>214</v>
      </c>
      <c r="E106" s="2" t="s">
        <v>531</v>
      </c>
      <c r="F106" s="2" t="n">
        <v>1</v>
      </c>
      <c r="G106" s="3" t="s">
        <v>532</v>
      </c>
      <c r="H106" s="4" t="n">
        <v>1.003</v>
      </c>
      <c r="I106" s="5" t="n">
        <f aca="false">IF(H106="","",VALUE(SUBSTITUTE(F106,"~",""))*H106)</f>
        <v>1.003</v>
      </c>
      <c r="J106" s="2" t="s">
        <v>18</v>
      </c>
      <c r="K106" s="3" t="s">
        <v>26</v>
      </c>
      <c r="L106" s="2" t="s">
        <v>533</v>
      </c>
    </row>
    <row r="107" customFormat="false" ht="31.3" hidden="false" customHeight="false" outlineLevel="0" collapsed="false">
      <c r="A107" s="2" t="s">
        <v>443</v>
      </c>
      <c r="B107" s="2" t="s">
        <v>534</v>
      </c>
      <c r="C107" s="2" t="s">
        <v>535</v>
      </c>
      <c r="D107" s="2" t="s">
        <v>239</v>
      </c>
      <c r="E107" s="2" t="s">
        <v>334</v>
      </c>
      <c r="F107" s="2" t="n">
        <v>1</v>
      </c>
      <c r="G107" s="3" t="s">
        <v>536</v>
      </c>
      <c r="H107" s="4" t="n">
        <v>0.0897</v>
      </c>
      <c r="I107" s="5" t="n">
        <f aca="false">IF(H107="","",VALUE(SUBSTITUTE(F107,"~",""))*H107)</f>
        <v>0.0897</v>
      </c>
      <c r="J107" s="2" t="s">
        <v>18</v>
      </c>
      <c r="K107" s="3" t="s">
        <v>26</v>
      </c>
      <c r="L107" s="2" t="s">
        <v>537</v>
      </c>
    </row>
    <row r="108" customFormat="false" ht="31.3" hidden="false" customHeight="false" outlineLevel="0" collapsed="false">
      <c r="A108" s="2" t="s">
        <v>443</v>
      </c>
      <c r="B108" s="2" t="s">
        <v>538</v>
      </c>
      <c r="C108" s="2" t="s">
        <v>539</v>
      </c>
      <c r="D108" s="2" t="s">
        <v>540</v>
      </c>
      <c r="E108" s="2" t="s">
        <v>541</v>
      </c>
      <c r="F108" s="2" t="n">
        <v>1</v>
      </c>
      <c r="G108" s="3" t="s">
        <v>542</v>
      </c>
      <c r="H108" s="4" t="n">
        <v>12.614</v>
      </c>
      <c r="I108" s="5" t="n">
        <f aca="false">IF(H108="","",VALUE(SUBSTITUTE(F108,"~",""))*H108)</f>
        <v>12.614</v>
      </c>
      <c r="J108" s="2" t="s">
        <v>18</v>
      </c>
      <c r="K108" s="3" t="s">
        <v>543</v>
      </c>
      <c r="L108" s="2" t="s">
        <v>544</v>
      </c>
    </row>
    <row r="109" customFormat="false" ht="31.3" hidden="false" customHeight="false" outlineLevel="0" collapsed="false">
      <c r="A109" s="2" t="s">
        <v>443</v>
      </c>
      <c r="B109" s="2" t="s">
        <v>545</v>
      </c>
      <c r="C109" s="2" t="s">
        <v>546</v>
      </c>
      <c r="D109" s="2" t="s">
        <v>547</v>
      </c>
      <c r="E109" s="2" t="s">
        <v>548</v>
      </c>
      <c r="F109" s="2" t="n">
        <v>1</v>
      </c>
      <c r="G109" s="3" t="s">
        <v>549</v>
      </c>
      <c r="H109" s="4" t="n">
        <v>1.4053</v>
      </c>
      <c r="I109" s="5" t="n">
        <f aca="false">IF(H109="","",VALUE(SUBSTITUTE(F109,"~",""))*H109)</f>
        <v>1.4053</v>
      </c>
      <c r="J109" s="2" t="s">
        <v>18</v>
      </c>
      <c r="K109" s="3" t="s">
        <v>26</v>
      </c>
      <c r="L109" s="2" t="s">
        <v>550</v>
      </c>
    </row>
    <row r="110" customFormat="false" ht="31.3" hidden="false" customHeight="false" outlineLevel="0" collapsed="false">
      <c r="A110" s="2" t="s">
        <v>443</v>
      </c>
      <c r="B110" s="2" t="s">
        <v>551</v>
      </c>
      <c r="C110" s="2" t="s">
        <v>552</v>
      </c>
      <c r="D110" s="2" t="s">
        <v>186</v>
      </c>
      <c r="E110" s="2" t="s">
        <v>553</v>
      </c>
      <c r="F110" s="2" t="n">
        <v>1</v>
      </c>
      <c r="G110" s="3" t="s">
        <v>554</v>
      </c>
      <c r="H110" s="4" t="n">
        <v>0.2168</v>
      </c>
      <c r="I110" s="5" t="n">
        <f aca="false">IF(H110="","",VALUE(SUBSTITUTE(F110,"~",""))*H110)</f>
        <v>0.2168</v>
      </c>
      <c r="J110" s="2" t="s">
        <v>18</v>
      </c>
      <c r="K110" s="3" t="s">
        <v>26</v>
      </c>
      <c r="L110" s="2" t="s">
        <v>555</v>
      </c>
    </row>
    <row r="111" customFormat="false" ht="16.4" hidden="false" customHeight="false" outlineLevel="0" collapsed="false">
      <c r="A111" s="2" t="s">
        <v>556</v>
      </c>
      <c r="B111" s="2" t="s">
        <v>557</v>
      </c>
      <c r="C111" s="2" t="s">
        <v>558</v>
      </c>
      <c r="D111" s="2" t="s">
        <v>559</v>
      </c>
      <c r="E111" s="2" t="s">
        <v>560</v>
      </c>
      <c r="F111" s="2" t="n">
        <v>1</v>
      </c>
      <c r="G111" s="3" t="s">
        <v>561</v>
      </c>
      <c r="H111" s="4" t="n">
        <v>1.6241</v>
      </c>
      <c r="I111" s="5" t="n">
        <f aca="false">IF(H111="","",VALUE(SUBSTITUTE(F111,"~",""))*H111)</f>
        <v>1.6241</v>
      </c>
      <c r="J111" s="2" t="s">
        <v>18</v>
      </c>
      <c r="K111" s="3" t="s">
        <v>26</v>
      </c>
      <c r="L111" s="2" t="s">
        <v>562</v>
      </c>
    </row>
    <row r="112" customFormat="false" ht="31.3" hidden="false" customHeight="false" outlineLevel="0" collapsed="false">
      <c r="A112" s="2" t="s">
        <v>556</v>
      </c>
      <c r="B112" s="2" t="s">
        <v>563</v>
      </c>
      <c r="C112" s="2" t="s">
        <v>564</v>
      </c>
      <c r="D112" s="2" t="s">
        <v>565</v>
      </c>
      <c r="E112" s="2" t="s">
        <v>566</v>
      </c>
      <c r="F112" s="2" t="n">
        <v>4</v>
      </c>
      <c r="G112" s="2" t="s">
        <v>567</v>
      </c>
      <c r="H112" s="4" t="n">
        <v>1.5075</v>
      </c>
      <c r="I112" s="5" t="n">
        <f aca="false">IF(H112="","",VALUE(SUBSTITUTE(F112,"~",""))*H112)</f>
        <v>6.03</v>
      </c>
      <c r="J112" s="2" t="s">
        <v>45</v>
      </c>
      <c r="K112" s="3" t="s">
        <v>568</v>
      </c>
      <c r="L112" s="2" t="s">
        <v>569</v>
      </c>
    </row>
    <row r="113" customFormat="false" ht="31.3" hidden="false" customHeight="false" outlineLevel="0" collapsed="false">
      <c r="A113" s="2" t="s">
        <v>556</v>
      </c>
      <c r="B113" s="2" t="s">
        <v>570</v>
      </c>
      <c r="C113" s="2" t="s">
        <v>283</v>
      </c>
      <c r="D113" s="2"/>
      <c r="E113" s="2"/>
      <c r="F113" s="2" t="n">
        <v>4</v>
      </c>
      <c r="G113" s="2"/>
      <c r="H113" s="4"/>
      <c r="I113" s="5" t="str">
        <f aca="false">IF(H113="","",VALUE(SUBSTITUTE(F113,"~",""))*H113)</f>
        <v/>
      </c>
      <c r="J113" s="2" t="s">
        <v>284</v>
      </c>
      <c r="K113" s="2"/>
      <c r="L113" s="2" t="s">
        <v>571</v>
      </c>
    </row>
  </sheetData>
  <autoFilter ref="A1:L113"/>
  <hyperlinks>
    <hyperlink ref="G2" r:id="rId1" display="C49363240"/>
    <hyperlink ref="K2" r:id="rId2" display="wch-ic.com"/>
    <hyperlink ref="G3" r:id="rId3" display="C9006"/>
    <hyperlink ref="K3" r:id="rId4" display="PDF LCSC"/>
    <hyperlink ref="G4" r:id="rId5" display="C16320"/>
    <hyperlink ref="K4" r:id="rId6" display="PDF LCSC"/>
    <hyperlink ref="G5" r:id="rId7" display="C141836"/>
    <hyperlink ref="K5" r:id="rId8" display="PDF LCSC"/>
    <hyperlink ref="K6" r:id="rId9" display="PDF LCSC"/>
    <hyperlink ref="G7" r:id="rId10" display="C97521"/>
    <hyperlink ref="K7" r:id="rId11" display="PDF LCSC"/>
    <hyperlink ref="G8" r:id="rId12" display="C19674258"/>
    <hyperlink ref="K8" r:id="rId13" display="PDF LCSC"/>
    <hyperlink ref="G9" r:id="rId14" display="C81934"/>
    <hyperlink ref="K9" r:id="rId15" display="PDF LCSC"/>
    <hyperlink ref="G10" r:id="rId16" display="C347589"/>
    <hyperlink ref="K10" r:id="rId17" display="PDF LCSC"/>
    <hyperlink ref="G11" r:id="rId18" display="C5187096"/>
    <hyperlink ref="K11" r:id="rId19" display="PDF LCSC"/>
    <hyperlink ref="G12" r:id="rId20" display="C130204"/>
    <hyperlink ref="K12" r:id="rId21" display="PDF LCSC"/>
    <hyperlink ref="G13" r:id="rId22" display="C115448"/>
    <hyperlink ref="K13" r:id="rId23" display="PDF LCSC"/>
    <hyperlink ref="G14" r:id="rId24" display="C2864807"/>
    <hyperlink ref="K14" r:id="rId25" display="PDF LCSC"/>
    <hyperlink ref="G15" r:id="rId26" display="C3747031"/>
    <hyperlink ref="K15" r:id="rId27" display="PDF LCSC"/>
    <hyperlink ref="G16" r:id="rId28" display="C480267"/>
    <hyperlink ref="K16" r:id="rId29" display="PDF LCSC"/>
    <hyperlink ref="G17" r:id="rId30" display="C5345933"/>
    <hyperlink ref="K17" r:id="rId31" display="PDF LCSC"/>
    <hyperlink ref="G18" r:id="rId32" display="C30169739"/>
    <hyperlink ref="K18" r:id="rId33" display="ti.com"/>
    <hyperlink ref="G19" r:id="rId34" display="C544517"/>
    <hyperlink ref="K19" r:id="rId35" display="PDF LCSC"/>
    <hyperlink ref="G20" r:id="rId36" display="C138714"/>
    <hyperlink ref="K20" r:id="rId37" display="PDF LCSC"/>
    <hyperlink ref="G21" r:id="rId38" display="C1972959"/>
    <hyperlink ref="K21" r:id="rId39" display="PDF LCSC"/>
    <hyperlink ref="G22" r:id="rId40" display="C523793"/>
    <hyperlink ref="K22" r:id="rId41" display="PDF LCSC"/>
    <hyperlink ref="G23" r:id="rId42" display="C2876593"/>
    <hyperlink ref="K23" r:id="rId43" display="ti.com"/>
    <hyperlink ref="G24" r:id="rId44" display="C3002"/>
    <hyperlink ref="K24" r:id="rId45" display="PDF LCSC"/>
    <hyperlink ref="G25" r:id="rId46" display="C76855"/>
    <hyperlink ref="K25" r:id="rId47" display="PDF LCSC"/>
    <hyperlink ref="G26" r:id="rId48" display="C364375"/>
    <hyperlink ref="K26" r:id="rId49" display="PDF LCSC"/>
    <hyperlink ref="G27" r:id="rId50" display="C473397"/>
    <hyperlink ref="K27" r:id="rId51" display="PDF LCSC"/>
    <hyperlink ref="G28" r:id="rId52" display="C2845237"/>
    <hyperlink ref="K28" r:id="rId53" display="PDF LCSC"/>
    <hyperlink ref="G29" r:id="rId54" display="C668312"/>
    <hyperlink ref="K29" r:id="rId55" display="PDF LCSC"/>
    <hyperlink ref="G30" r:id="rId56" display="C919459"/>
    <hyperlink ref="K30" r:id="rId57" display="ti.com"/>
    <hyperlink ref="G31" r:id="rId58" display="C87572"/>
    <hyperlink ref="K31" r:id="rId59" display="PDF LCSC"/>
    <hyperlink ref="G32" r:id="rId60" display="C2681320"/>
    <hyperlink ref="K32" r:id="rId61" display="PDF LCSC"/>
    <hyperlink ref="G33" r:id="rId62" display="C144394"/>
    <hyperlink ref="K33" r:id="rId63" display="PDF LCSC"/>
    <hyperlink ref="G34" r:id="rId64" display="C144402"/>
    <hyperlink ref="K34" r:id="rId65" display="PDF LCSC"/>
    <hyperlink ref="G35" r:id="rId66" display="C140573"/>
    <hyperlink ref="K35" r:id="rId67" display="PDF LCSC"/>
    <hyperlink ref="G36" r:id="rId68" display="C347559"/>
    <hyperlink ref="K36" r:id="rId69" display="PDF LCSC"/>
    <hyperlink ref="G37" r:id="rId70" display="C5942077"/>
    <hyperlink ref="K37" r:id="rId71" display="PDF LCSC"/>
    <hyperlink ref="G38" r:id="rId72" display="C506574"/>
    <hyperlink ref="K38" r:id="rId73" display="PDF LCSC"/>
    <hyperlink ref="G39" r:id="rId74" display="C713435"/>
    <hyperlink ref="K39" r:id="rId75" display="PDF LCSC"/>
    <hyperlink ref="G40" r:id="rId76" display="C77102"/>
    <hyperlink ref="K40" r:id="rId77" display="PDF LCSC"/>
    <hyperlink ref="G41" r:id="rId78" display="C2941042"/>
    <hyperlink ref="K41" r:id="rId79" display="ti.com"/>
    <hyperlink ref="G42" r:id="rId80" display="C514442"/>
    <hyperlink ref="K42" r:id="rId81" display="PDF LCSC"/>
    <hyperlink ref="G43" r:id="rId82" display="C431196"/>
    <hyperlink ref="K43" r:id="rId83" display="PDF LCSC"/>
    <hyperlink ref="G44" r:id="rId84" display="C5280958"/>
    <hyperlink ref="K44" r:id="rId85" display="PDF LCSC"/>
    <hyperlink ref="G45" r:id="rId86" display="C146286"/>
    <hyperlink ref="K45" r:id="rId87" display="PDF LCSC"/>
    <hyperlink ref="G46" r:id="rId88" display="C2887910"/>
    <hyperlink ref="K46" r:id="rId89" display="ti.com"/>
    <hyperlink ref="G47" r:id="rId90" display="C22427652"/>
    <hyperlink ref="K47" r:id="rId91" display="ti.com"/>
    <hyperlink ref="G48" r:id="rId92" display="C2058578"/>
    <hyperlink ref="K48" r:id="rId93" display="PDF LCSC"/>
    <hyperlink ref="G49" r:id="rId94" display="C844901"/>
    <hyperlink ref="K49" r:id="rId95" display="PDF LCSC"/>
    <hyperlink ref="G50" r:id="rId96" display="C844887"/>
    <hyperlink ref="K50" r:id="rId97" display="PDF LCSC"/>
    <hyperlink ref="G51" r:id="rId98" display="C122970"/>
    <hyperlink ref="K51" r:id="rId99" display="PDF LCSC"/>
    <hyperlink ref="G53" r:id="rId100" display="C99395"/>
    <hyperlink ref="K53" r:id="rId101" display="PDF LCSC"/>
    <hyperlink ref="G54" r:id="rId102" display="C7722"/>
    <hyperlink ref="K54" r:id="rId103" display="PDF LCSC"/>
    <hyperlink ref="G55" r:id="rId104" display="C82046"/>
    <hyperlink ref="K55" r:id="rId105" display="PDF LCSC"/>
    <hyperlink ref="G57" r:id="rId106" display="C224016"/>
    <hyperlink ref="K57" r:id="rId107" display="PDF LCSC"/>
    <hyperlink ref="G58" r:id="rId108" display="C2682152"/>
    <hyperlink ref="K58" r:id="rId109" display="PDF LCSC"/>
    <hyperlink ref="G59" r:id="rId110" display="C12512"/>
    <hyperlink ref="K59" r:id="rId111" display="PDF LCSC"/>
    <hyperlink ref="G60" r:id="rId112" display="C548240"/>
    <hyperlink ref="K60" r:id="rId113" display="PDF LCSC"/>
    <hyperlink ref="G61" r:id="rId114" display="C7978"/>
    <hyperlink ref="K61" r:id="rId115" display="PDF LCSC"/>
    <hyperlink ref="G62" r:id="rId116" display="C265126"/>
    <hyperlink ref="K62" r:id="rId117" display="PDF LCSC"/>
    <hyperlink ref="G63" r:id="rId118" display="C37704"/>
    <hyperlink ref="K63" r:id="rId119" display="PDF LCSC"/>
    <hyperlink ref="G64" r:id="rId120" display="C184326"/>
    <hyperlink ref="K64" r:id="rId121" display="PDF LCSC"/>
    <hyperlink ref="G67" r:id="rId122" display="C7509530"/>
    <hyperlink ref="K67" r:id="rId123" display="PDF LCSC"/>
    <hyperlink ref="G70" r:id="rId124" display="C193413"/>
    <hyperlink ref="K70" r:id="rId125" display="PDF LCSC"/>
    <hyperlink ref="G71" r:id="rId126" display="C1973137"/>
    <hyperlink ref="K71" r:id="rId127" display="PDF LCSC"/>
    <hyperlink ref="G72" r:id="rId128" display="C145516"/>
    <hyperlink ref="K72" r:id="rId129" display="PDF LCSC"/>
    <hyperlink ref="G73" r:id="rId130" display="C108207"/>
    <hyperlink ref="K73" r:id="rId131" display="PDF LCSC"/>
    <hyperlink ref="G74" r:id="rId132" display="C128405"/>
    <hyperlink ref="K74" r:id="rId133" display="PDF LCSC"/>
    <hyperlink ref="G75" r:id="rId134" display="C49287176"/>
    <hyperlink ref="K75" r:id="rId135" display="карточка LCSC"/>
    <hyperlink ref="G76" r:id="rId136" display="C4364198"/>
    <hyperlink ref="K76" r:id="rId137" display="PDF LCSC"/>
    <hyperlink ref="G77" r:id="rId138" display="C313835"/>
    <hyperlink ref="K77" r:id="rId139" display="PDF LCSC"/>
    <hyperlink ref="G78" r:id="rId140" display="C2500"/>
    <hyperlink ref="K78" r:id="rId141" display="PDF LCSC"/>
    <hyperlink ref="G79" r:id="rId142" display="C1852785"/>
    <hyperlink ref="K79" r:id="rId143" display="PDF LCSC"/>
    <hyperlink ref="G80" r:id="rId144" display="C85085"/>
    <hyperlink ref="K80" r:id="rId145" display="PDF LCSC"/>
    <hyperlink ref="G81" r:id="rId146" display="C151296"/>
    <hyperlink ref="K81" r:id="rId147" display="PDF LCSC"/>
    <hyperlink ref="G82" r:id="rId148" display="C2877852"/>
    <hyperlink ref="K82" r:id="rId149" display="PDF LCSC"/>
    <hyperlink ref="G83" r:id="rId150" display="C2681320"/>
    <hyperlink ref="K83" r:id="rId151" display="PDF LCSC"/>
    <hyperlink ref="G85" r:id="rId152" display="C21757842"/>
    <hyperlink ref="K85" r:id="rId153" display="samtec.com"/>
    <hyperlink ref="G86" r:id="rId154" display="C4363995"/>
    <hyperlink ref="K86" r:id="rId155" display="ti.com"/>
    <hyperlink ref="G87" r:id="rId156" display="C8545"/>
    <hyperlink ref="K87" r:id="rId157" display="PDF LCSC"/>
    <hyperlink ref="G88" r:id="rId158" display="C124691"/>
    <hyperlink ref="K88" r:id="rId159" display="PDF LCSC"/>
    <hyperlink ref="G89" r:id="rId160" display="C201665"/>
    <hyperlink ref="K89" r:id="rId161" display="PDF LCSC"/>
    <hyperlink ref="G90" r:id="rId162" display="C27636748"/>
    <hyperlink ref="K90" r:id="rId163" display="PDF LCSC"/>
    <hyperlink ref="G91" r:id="rId164" display="C23398826"/>
    <hyperlink ref="K91" r:id="rId165" display="PDF LCSC"/>
    <hyperlink ref="G92" r:id="rId166" display="C71045"/>
    <hyperlink ref="K92" r:id="rId167" display="PDF LCSC"/>
    <hyperlink ref="G93" r:id="rId168" display="C64885"/>
    <hyperlink ref="K93" r:id="rId169" display="PDF LCSC"/>
    <hyperlink ref="K94" r:id="rId170" display="PDF LCSC"/>
    <hyperlink ref="G95" r:id="rId171" display="C2681320"/>
    <hyperlink ref="K95" r:id="rId172" display="PDF LCSC"/>
    <hyperlink ref="G96" r:id="rId173" display="C910544"/>
    <hyperlink ref="K96" r:id="rId174" display="PDF LCSC"/>
    <hyperlink ref="G98" r:id="rId175" display="C530544"/>
    <hyperlink ref="K98" r:id="rId176" display="PDF LCSC"/>
    <hyperlink ref="G99" r:id="rId177" display="C527464"/>
    <hyperlink ref="K99" r:id="rId178" display="PDF LCSC"/>
    <hyperlink ref="G101" r:id="rId179" display="C2925423"/>
    <hyperlink ref="K101" r:id="rId180" display="PDF LCSC"/>
    <hyperlink ref="G102" r:id="rId181" display="C110293"/>
    <hyperlink ref="K102" r:id="rId182" display="PDF LCSC"/>
    <hyperlink ref="G104" r:id="rId183" display="C967633"/>
    <hyperlink ref="K104" r:id="rId184" display="PDF LCSC"/>
    <hyperlink ref="G105" r:id="rId185" display="C511498"/>
    <hyperlink ref="K105" r:id="rId186" display="PDF LCSC"/>
    <hyperlink ref="G106" r:id="rId187" display="C511094"/>
    <hyperlink ref="K106" r:id="rId188" display="PDF LCSC"/>
    <hyperlink ref="G107" r:id="rId189" display="C20917"/>
    <hyperlink ref="K107" r:id="rId190" display="PDF LCSC"/>
    <hyperlink ref="G108" r:id="rId191" display="C50346179"/>
    <hyperlink ref="K108" r:id="rId192" display="espressif.com"/>
    <hyperlink ref="G109" r:id="rId193" display="C114218"/>
    <hyperlink ref="K109" r:id="rId194" display="PDF LCSC"/>
    <hyperlink ref="G110" r:id="rId195" display="C160404"/>
    <hyperlink ref="K110" r:id="rId196" display="PDF LCSC"/>
    <hyperlink ref="G111" r:id="rId197" display="C464636"/>
    <hyperlink ref="K111" r:id="rId198" display="PDF LCSC"/>
    <hyperlink ref="K112" r:id="rId199" display="we-online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22"/>
    <col collapsed="false" customWidth="true" hidden="false" outlineLevel="0" max="11" min="11" style="0" width="16"/>
    <col collapsed="false" customWidth="true" hidden="false" outlineLevel="0" max="12" min="12" style="0" width="60"/>
  </cols>
  <sheetData>
    <row r="1" customFormat="false" ht="61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6.4" hidden="false" customHeight="false" outlineLevel="0" collapsed="false">
      <c r="A2" s="2" t="s">
        <v>572</v>
      </c>
      <c r="B2" s="2" t="s">
        <v>573</v>
      </c>
      <c r="C2" s="2" t="s">
        <v>574</v>
      </c>
      <c r="D2" s="2" t="s">
        <v>233</v>
      </c>
      <c r="E2" s="2" t="s">
        <v>575</v>
      </c>
      <c r="F2" s="2" t="n">
        <v>1</v>
      </c>
      <c r="G2" s="3" t="s">
        <v>576</v>
      </c>
      <c r="H2" s="4" t="n">
        <v>27.3042</v>
      </c>
      <c r="I2" s="5" t="n">
        <f aca="false">IF(H2="","",VALUE(SUBSTITUTE(F2,"~",""))*H2)</f>
        <v>27.3042</v>
      </c>
      <c r="J2" s="2" t="s">
        <v>18</v>
      </c>
      <c r="K2" s="3" t="s">
        <v>26</v>
      </c>
      <c r="L2" s="2" t="s">
        <v>577</v>
      </c>
    </row>
    <row r="3" customFormat="false" ht="16.4" hidden="false" customHeight="false" outlineLevel="0" collapsed="false">
      <c r="A3" s="2" t="s">
        <v>572</v>
      </c>
      <c r="B3" s="2" t="s">
        <v>578</v>
      </c>
      <c r="C3" s="2" t="s">
        <v>579</v>
      </c>
      <c r="D3" s="2" t="s">
        <v>36</v>
      </c>
      <c r="E3" s="2" t="s">
        <v>580</v>
      </c>
      <c r="F3" s="2" t="n">
        <v>1</v>
      </c>
      <c r="G3" s="3" t="s">
        <v>581</v>
      </c>
      <c r="H3" s="4" t="n">
        <v>12.7057</v>
      </c>
      <c r="I3" s="5" t="n">
        <f aca="false">IF(H3="","",VALUE(SUBSTITUTE(F3,"~",""))*H3)</f>
        <v>12.7057</v>
      </c>
      <c r="J3" s="2" t="s">
        <v>18</v>
      </c>
      <c r="K3" s="3" t="s">
        <v>26</v>
      </c>
      <c r="L3" s="2" t="s">
        <v>582</v>
      </c>
    </row>
    <row r="4" customFormat="false" ht="16.4" hidden="false" customHeight="false" outlineLevel="0" collapsed="false">
      <c r="A4" s="2" t="s">
        <v>572</v>
      </c>
      <c r="B4" s="2" t="s">
        <v>583</v>
      </c>
      <c r="C4" s="2" t="s">
        <v>584</v>
      </c>
      <c r="D4" s="2" t="s">
        <v>36</v>
      </c>
      <c r="E4" s="2" t="s">
        <v>37</v>
      </c>
      <c r="F4" s="2" t="n">
        <v>1</v>
      </c>
      <c r="G4" s="3" t="s">
        <v>585</v>
      </c>
      <c r="H4" s="4" t="n">
        <v>0.2112</v>
      </c>
      <c r="I4" s="5" t="n">
        <f aca="false">IF(H4="","",VALUE(SUBSTITUTE(F4,"~",""))*H4)</f>
        <v>0.2112</v>
      </c>
      <c r="J4" s="2" t="s">
        <v>18</v>
      </c>
      <c r="K4" s="3" t="s">
        <v>26</v>
      </c>
      <c r="L4" s="2" t="s">
        <v>586</v>
      </c>
    </row>
    <row r="5" customFormat="false" ht="16.4" hidden="false" customHeight="false" outlineLevel="0" collapsed="false">
      <c r="A5" s="2" t="s">
        <v>572</v>
      </c>
      <c r="B5" s="2" t="s">
        <v>587</v>
      </c>
      <c r="C5" s="2" t="s">
        <v>588</v>
      </c>
      <c r="D5" s="2" t="s">
        <v>36</v>
      </c>
      <c r="E5" s="2" t="s">
        <v>589</v>
      </c>
      <c r="F5" s="2" t="n">
        <v>1</v>
      </c>
      <c r="G5" s="3" t="s">
        <v>590</v>
      </c>
      <c r="H5" s="4" t="n">
        <v>6.0319</v>
      </c>
      <c r="I5" s="5" t="n">
        <f aca="false">IF(H5="","",VALUE(SUBSTITUTE(F5,"~",""))*H5)</f>
        <v>6.0319</v>
      </c>
      <c r="J5" s="2" t="s">
        <v>18</v>
      </c>
      <c r="K5" s="3" t="s">
        <v>26</v>
      </c>
      <c r="L5" s="2" t="s">
        <v>591</v>
      </c>
    </row>
    <row r="6" customFormat="false" ht="16.4" hidden="false" customHeight="false" outlineLevel="0" collapsed="false">
      <c r="A6" s="2" t="s">
        <v>572</v>
      </c>
      <c r="B6" s="2" t="s">
        <v>592</v>
      </c>
      <c r="C6" s="2" t="s">
        <v>593</v>
      </c>
      <c r="D6" s="2" t="s">
        <v>36</v>
      </c>
      <c r="E6" s="2" t="s">
        <v>594</v>
      </c>
      <c r="F6" s="2" t="n">
        <v>1</v>
      </c>
      <c r="G6" s="3" t="s">
        <v>595</v>
      </c>
      <c r="H6" s="4" t="n">
        <v>2.8784</v>
      </c>
      <c r="I6" s="5" t="n">
        <f aca="false">IF(H6="","",VALUE(SUBSTITUTE(F6,"~",""))*H6)</f>
        <v>2.8784</v>
      </c>
      <c r="J6" s="2" t="s">
        <v>18</v>
      </c>
      <c r="K6" s="3" t="s">
        <v>26</v>
      </c>
      <c r="L6" s="2" t="s">
        <v>596</v>
      </c>
    </row>
    <row r="7" customFormat="false" ht="16.4" hidden="false" customHeight="false" outlineLevel="0" collapsed="false">
      <c r="A7" s="2" t="s">
        <v>572</v>
      </c>
      <c r="B7" s="2" t="s">
        <v>597</v>
      </c>
      <c r="C7" s="2" t="s">
        <v>598</v>
      </c>
      <c r="D7" s="2" t="s">
        <v>304</v>
      </c>
      <c r="E7" s="2" t="s">
        <v>305</v>
      </c>
      <c r="F7" s="2" t="n">
        <v>3</v>
      </c>
      <c r="G7" s="3" t="s">
        <v>599</v>
      </c>
      <c r="H7" s="4" t="n">
        <v>0.1481</v>
      </c>
      <c r="I7" s="5" t="n">
        <f aca="false">IF(H7="","",VALUE(SUBSTITUTE(F7,"~",""))*H7)</f>
        <v>0.4443</v>
      </c>
      <c r="J7" s="2" t="s">
        <v>18</v>
      </c>
      <c r="K7" s="3" t="s">
        <v>26</v>
      </c>
      <c r="L7" s="2" t="s">
        <v>600</v>
      </c>
    </row>
    <row r="8" customFormat="false" ht="31.3" hidden="false" customHeight="false" outlineLevel="0" collapsed="false">
      <c r="A8" s="2" t="s">
        <v>572</v>
      </c>
      <c r="B8" s="2" t="s">
        <v>601</v>
      </c>
      <c r="C8" s="2" t="s">
        <v>283</v>
      </c>
      <c r="D8" s="2"/>
      <c r="E8" s="2"/>
      <c r="F8" s="2" t="n">
        <v>2</v>
      </c>
      <c r="G8" s="2"/>
      <c r="H8" s="4"/>
      <c r="I8" s="5" t="str">
        <f aca="false">IF(H8="","",VALUE(SUBSTITUTE(F8,"~",""))*H8)</f>
        <v/>
      </c>
      <c r="J8" s="2" t="s">
        <v>284</v>
      </c>
      <c r="K8" s="2"/>
      <c r="L8" s="2" t="s">
        <v>602</v>
      </c>
    </row>
    <row r="9" customFormat="false" ht="16.4" hidden="false" customHeight="false" outlineLevel="0" collapsed="false">
      <c r="A9" s="2" t="s">
        <v>572</v>
      </c>
      <c r="B9" s="2" t="s">
        <v>603</v>
      </c>
      <c r="C9" s="2" t="s">
        <v>604</v>
      </c>
      <c r="D9" s="2" t="s">
        <v>296</v>
      </c>
      <c r="E9" s="2" t="s">
        <v>605</v>
      </c>
      <c r="F9" s="2" t="n">
        <v>4</v>
      </c>
      <c r="G9" s="3" t="s">
        <v>606</v>
      </c>
      <c r="H9" s="4" t="n">
        <v>0.0413</v>
      </c>
      <c r="I9" s="5" t="n">
        <f aca="false">IF(H9="","",VALUE(SUBSTITUTE(F9,"~",""))*H9)</f>
        <v>0.1652</v>
      </c>
      <c r="J9" s="2" t="s">
        <v>18</v>
      </c>
      <c r="K9" s="3" t="s">
        <v>26</v>
      </c>
      <c r="L9" s="2" t="s">
        <v>607</v>
      </c>
    </row>
    <row r="10" customFormat="false" ht="16.4" hidden="false" customHeight="false" outlineLevel="0" collapsed="false">
      <c r="A10" s="2" t="s">
        <v>572</v>
      </c>
      <c r="B10" s="2" t="s">
        <v>608</v>
      </c>
      <c r="C10" s="2" t="s">
        <v>370</v>
      </c>
      <c r="D10" s="2" t="s">
        <v>296</v>
      </c>
      <c r="E10" s="2" t="s">
        <v>334</v>
      </c>
      <c r="F10" s="2" t="n">
        <v>3</v>
      </c>
      <c r="G10" s="3" t="s">
        <v>371</v>
      </c>
      <c r="H10" s="4" t="n">
        <v>0.0311</v>
      </c>
      <c r="I10" s="5" t="n">
        <f aca="false">IF(H10="","",VALUE(SUBSTITUTE(F10,"~",""))*H10)</f>
        <v>0.0933</v>
      </c>
      <c r="J10" s="2" t="s">
        <v>18</v>
      </c>
      <c r="K10" s="3" t="s">
        <v>26</v>
      </c>
      <c r="L10" s="2" t="s">
        <v>372</v>
      </c>
    </row>
    <row r="11" customFormat="false" ht="16.4" hidden="false" customHeight="false" outlineLevel="0" collapsed="false">
      <c r="A11" s="2" t="s">
        <v>572</v>
      </c>
      <c r="B11" s="2" t="s">
        <v>609</v>
      </c>
      <c r="C11" s="2" t="s">
        <v>610</v>
      </c>
      <c r="D11" s="2" t="s">
        <v>296</v>
      </c>
      <c r="E11" s="2" t="s">
        <v>611</v>
      </c>
      <c r="F11" s="2" t="n">
        <v>4</v>
      </c>
      <c r="G11" s="3" t="s">
        <v>612</v>
      </c>
      <c r="H11" s="4" t="n">
        <v>0.3659</v>
      </c>
      <c r="I11" s="5" t="n">
        <f aca="false">IF(H11="","",VALUE(SUBSTITUTE(F11,"~",""))*H11)</f>
        <v>1.4636</v>
      </c>
      <c r="J11" s="2" t="s">
        <v>18</v>
      </c>
      <c r="K11" s="3" t="s">
        <v>26</v>
      </c>
      <c r="L11" s="2" t="s">
        <v>613</v>
      </c>
    </row>
    <row r="12" customFormat="false" ht="16.4" hidden="false" customHeight="false" outlineLevel="0" collapsed="false">
      <c r="A12" s="2" t="s">
        <v>572</v>
      </c>
      <c r="B12" s="2" t="s">
        <v>614</v>
      </c>
      <c r="C12" s="2" t="s">
        <v>615</v>
      </c>
      <c r="D12" s="2" t="s">
        <v>138</v>
      </c>
      <c r="E12" s="2" t="s">
        <v>334</v>
      </c>
      <c r="F12" s="2" t="n">
        <v>2</v>
      </c>
      <c r="G12" s="3" t="s">
        <v>616</v>
      </c>
      <c r="H12" s="4" t="n">
        <v>0.3825</v>
      </c>
      <c r="I12" s="5" t="n">
        <f aca="false">IF(H12="","",VALUE(SUBSTITUTE(F12,"~",""))*H12)</f>
        <v>0.765</v>
      </c>
      <c r="J12" s="2" t="s">
        <v>18</v>
      </c>
      <c r="K12" s="3" t="s">
        <v>26</v>
      </c>
      <c r="L12" s="2" t="s">
        <v>617</v>
      </c>
    </row>
    <row r="13" customFormat="false" ht="16.4" hidden="false" customHeight="false" outlineLevel="0" collapsed="false">
      <c r="A13" s="2" t="s">
        <v>572</v>
      </c>
      <c r="B13" s="2" t="s">
        <v>618</v>
      </c>
      <c r="C13" s="2" t="s">
        <v>619</v>
      </c>
      <c r="D13" s="2" t="s">
        <v>36</v>
      </c>
      <c r="E13" s="2" t="s">
        <v>85</v>
      </c>
      <c r="F13" s="2" t="n">
        <v>2</v>
      </c>
      <c r="G13" s="3" t="s">
        <v>620</v>
      </c>
      <c r="H13" s="4" t="n">
        <v>2.2543</v>
      </c>
      <c r="I13" s="5" t="n">
        <f aca="false">IF(H13="","",VALUE(SUBSTITUTE(F13,"~",""))*H13)</f>
        <v>4.5086</v>
      </c>
      <c r="J13" s="2" t="s">
        <v>18</v>
      </c>
      <c r="K13" s="3" t="s">
        <v>26</v>
      </c>
      <c r="L13" s="2" t="s">
        <v>621</v>
      </c>
    </row>
    <row r="14" customFormat="false" ht="16.4" hidden="false" customHeight="false" outlineLevel="0" collapsed="false">
      <c r="A14" s="2" t="s">
        <v>572</v>
      </c>
      <c r="B14" s="2" t="s">
        <v>622</v>
      </c>
      <c r="C14" s="2" t="s">
        <v>623</v>
      </c>
      <c r="D14" s="2" t="s">
        <v>36</v>
      </c>
      <c r="E14" s="2" t="s">
        <v>624</v>
      </c>
      <c r="F14" s="2" t="n">
        <v>1</v>
      </c>
      <c r="G14" s="3" t="s">
        <v>625</v>
      </c>
      <c r="H14" s="4" t="n">
        <v>5.1295</v>
      </c>
      <c r="I14" s="5" t="n">
        <f aca="false">IF(H14="","",VALUE(SUBSTITUTE(F14,"~",""))*H14)</f>
        <v>5.1295</v>
      </c>
      <c r="J14" s="2" t="s">
        <v>18</v>
      </c>
      <c r="K14" s="3" t="s">
        <v>26</v>
      </c>
      <c r="L14" s="2" t="s">
        <v>626</v>
      </c>
    </row>
    <row r="15" customFormat="false" ht="16.4" hidden="false" customHeight="false" outlineLevel="0" collapsed="false">
      <c r="A15" s="2" t="s">
        <v>572</v>
      </c>
      <c r="B15" s="2" t="s">
        <v>627</v>
      </c>
      <c r="C15" s="2" t="s">
        <v>628</v>
      </c>
      <c r="D15" s="2" t="s">
        <v>36</v>
      </c>
      <c r="E15" s="2" t="s">
        <v>629</v>
      </c>
      <c r="F15" s="2" t="n">
        <v>2</v>
      </c>
      <c r="G15" s="3" t="s">
        <v>630</v>
      </c>
      <c r="H15" s="4" t="n">
        <v>7.1843</v>
      </c>
      <c r="I15" s="5" t="n">
        <f aca="false">IF(H15="","",VALUE(SUBSTITUTE(F15,"~",""))*H15)</f>
        <v>14.3686</v>
      </c>
      <c r="J15" s="2" t="s">
        <v>18</v>
      </c>
      <c r="K15" s="3" t="s">
        <v>26</v>
      </c>
      <c r="L15" s="2" t="s">
        <v>631</v>
      </c>
    </row>
    <row r="16" customFormat="false" ht="16.4" hidden="false" customHeight="false" outlineLevel="0" collapsed="false">
      <c r="A16" s="2" t="s">
        <v>572</v>
      </c>
      <c r="B16" s="2" t="s">
        <v>632</v>
      </c>
      <c r="C16" s="2" t="s">
        <v>374</v>
      </c>
      <c r="D16" s="2" t="s">
        <v>375</v>
      </c>
      <c r="E16" s="2" t="s">
        <v>376</v>
      </c>
      <c r="F16" s="2" t="n">
        <v>1</v>
      </c>
      <c r="G16" s="3" t="s">
        <v>377</v>
      </c>
      <c r="H16" s="4" t="n">
        <v>2.3451</v>
      </c>
      <c r="I16" s="5" t="n">
        <f aca="false">IF(H16="","",VALUE(SUBSTITUTE(F16,"~",""))*H16)</f>
        <v>2.3451</v>
      </c>
      <c r="J16" s="2" t="s">
        <v>18</v>
      </c>
      <c r="K16" s="3" t="s">
        <v>26</v>
      </c>
      <c r="L16" s="2" t="s">
        <v>633</v>
      </c>
    </row>
    <row r="17" customFormat="false" ht="16.4" hidden="false" customHeight="false" outlineLevel="0" collapsed="false">
      <c r="A17" s="2" t="s">
        <v>572</v>
      </c>
      <c r="B17" s="2" t="s">
        <v>634</v>
      </c>
      <c r="C17" s="2" t="s">
        <v>635</v>
      </c>
      <c r="D17" s="2" t="s">
        <v>36</v>
      </c>
      <c r="E17" s="2" t="s">
        <v>624</v>
      </c>
      <c r="F17" s="2" t="n">
        <v>1</v>
      </c>
      <c r="G17" s="3" t="s">
        <v>636</v>
      </c>
      <c r="H17" s="4" t="n">
        <v>2.2266</v>
      </c>
      <c r="I17" s="5" t="n">
        <f aca="false">IF(H17="","",VALUE(SUBSTITUTE(F17,"~",""))*H17)</f>
        <v>2.2266</v>
      </c>
      <c r="J17" s="2" t="s">
        <v>18</v>
      </c>
      <c r="K17" s="3" t="s">
        <v>26</v>
      </c>
      <c r="L17" s="2" t="s">
        <v>637</v>
      </c>
    </row>
    <row r="18" customFormat="false" ht="16.4" hidden="false" customHeight="false" outlineLevel="0" collapsed="false">
      <c r="A18" s="2" t="s">
        <v>572</v>
      </c>
      <c r="B18" s="2" t="s">
        <v>638</v>
      </c>
      <c r="C18" s="2" t="s">
        <v>639</v>
      </c>
      <c r="D18" s="2" t="s">
        <v>36</v>
      </c>
      <c r="E18" s="2" t="s">
        <v>261</v>
      </c>
      <c r="F18" s="2" t="n">
        <v>1</v>
      </c>
      <c r="G18" s="3" t="s">
        <v>640</v>
      </c>
      <c r="H18" s="4" t="n">
        <v>0.9143</v>
      </c>
      <c r="I18" s="5" t="n">
        <f aca="false">IF(H18="","",VALUE(SUBSTITUTE(F18,"~",""))*H18)</f>
        <v>0.9143</v>
      </c>
      <c r="J18" s="2" t="s">
        <v>18</v>
      </c>
      <c r="K18" s="3" t="s">
        <v>26</v>
      </c>
      <c r="L18" s="2" t="s">
        <v>641</v>
      </c>
    </row>
    <row r="19" customFormat="false" ht="16.4" hidden="false" customHeight="false" outlineLevel="0" collapsed="false">
      <c r="A19" s="2" t="s">
        <v>572</v>
      </c>
      <c r="B19" s="2" t="s">
        <v>642</v>
      </c>
      <c r="C19" s="2" t="s">
        <v>643</v>
      </c>
      <c r="D19" s="2" t="s">
        <v>36</v>
      </c>
      <c r="E19" s="2" t="s">
        <v>644</v>
      </c>
      <c r="F19" s="2" t="n">
        <v>1</v>
      </c>
      <c r="G19" s="3" t="s">
        <v>645</v>
      </c>
      <c r="H19" s="4" t="n">
        <v>2.9039</v>
      </c>
      <c r="I19" s="5" t="n">
        <f aca="false">IF(H19="","",VALUE(SUBSTITUTE(F19,"~",""))*H19)</f>
        <v>2.9039</v>
      </c>
      <c r="J19" s="2" t="s">
        <v>18</v>
      </c>
      <c r="K19" s="3" t="s">
        <v>26</v>
      </c>
      <c r="L19" s="2" t="s">
        <v>646</v>
      </c>
    </row>
    <row r="20" customFormat="false" ht="16.4" hidden="false" customHeight="false" outlineLevel="0" collapsed="false">
      <c r="A20" s="2" t="s">
        <v>572</v>
      </c>
      <c r="B20" s="2" t="s">
        <v>647</v>
      </c>
      <c r="C20" s="2" t="s">
        <v>648</v>
      </c>
      <c r="D20" s="2" t="s">
        <v>144</v>
      </c>
      <c r="E20" s="2" t="s">
        <v>649</v>
      </c>
      <c r="F20" s="2" t="n">
        <v>3</v>
      </c>
      <c r="G20" s="3" t="s">
        <v>650</v>
      </c>
      <c r="H20" s="4" t="n">
        <v>1.3281</v>
      </c>
      <c r="I20" s="5" t="n">
        <f aca="false">IF(H20="","",VALUE(SUBSTITUTE(F20,"~",""))*H20)</f>
        <v>3.9843</v>
      </c>
      <c r="J20" s="2" t="s">
        <v>18</v>
      </c>
      <c r="K20" s="3" t="s">
        <v>26</v>
      </c>
      <c r="L20" s="2" t="s">
        <v>651</v>
      </c>
    </row>
    <row r="21" customFormat="false" ht="16.4" hidden="false" customHeight="false" outlineLevel="0" collapsed="false">
      <c r="A21" s="2" t="s">
        <v>572</v>
      </c>
      <c r="B21" s="2" t="s">
        <v>652</v>
      </c>
      <c r="C21" s="2" t="s">
        <v>653</v>
      </c>
      <c r="D21" s="2" t="s">
        <v>296</v>
      </c>
      <c r="E21" s="2" t="s">
        <v>654</v>
      </c>
      <c r="F21" s="2" t="n">
        <v>3</v>
      </c>
      <c r="G21" s="3" t="s">
        <v>655</v>
      </c>
      <c r="H21" s="4" t="n">
        <v>0.2844</v>
      </c>
      <c r="I21" s="5" t="n">
        <f aca="false">IF(H21="","",VALUE(SUBSTITUTE(F21,"~",""))*H21)</f>
        <v>0.8532</v>
      </c>
      <c r="J21" s="2" t="s">
        <v>18</v>
      </c>
      <c r="K21" s="3" t="s">
        <v>26</v>
      </c>
      <c r="L21" s="2" t="s">
        <v>656</v>
      </c>
    </row>
    <row r="22" customFormat="false" ht="16.4" hidden="false" customHeight="false" outlineLevel="0" collapsed="false">
      <c r="A22" s="2" t="s">
        <v>572</v>
      </c>
      <c r="B22" s="2" t="s">
        <v>657</v>
      </c>
      <c r="C22" s="2" t="s">
        <v>658</v>
      </c>
      <c r="D22" s="2" t="s">
        <v>36</v>
      </c>
      <c r="E22" s="2" t="s">
        <v>659</v>
      </c>
      <c r="F22" s="2" t="n">
        <v>1</v>
      </c>
      <c r="G22" s="3" t="s">
        <v>660</v>
      </c>
      <c r="H22" s="4" t="n">
        <v>1.4656</v>
      </c>
      <c r="I22" s="5" t="n">
        <f aca="false">IF(H22="","",VALUE(SUBSTITUTE(F22,"~",""))*H22)</f>
        <v>1.4656</v>
      </c>
      <c r="J22" s="2" t="s">
        <v>18</v>
      </c>
      <c r="K22" s="3" t="s">
        <v>26</v>
      </c>
      <c r="L22" s="2" t="s">
        <v>661</v>
      </c>
    </row>
    <row r="23" customFormat="false" ht="16.4" hidden="false" customHeight="false" outlineLevel="0" collapsed="false">
      <c r="A23" s="2" t="s">
        <v>572</v>
      </c>
      <c r="B23" s="2" t="s">
        <v>662</v>
      </c>
      <c r="C23" s="2" t="s">
        <v>663</v>
      </c>
      <c r="D23" s="2" t="s">
        <v>36</v>
      </c>
      <c r="E23" s="2" t="s">
        <v>659</v>
      </c>
      <c r="F23" s="2" t="n">
        <v>1</v>
      </c>
      <c r="G23" s="3" t="s">
        <v>664</v>
      </c>
      <c r="H23" s="4" t="n">
        <v>2.0292</v>
      </c>
      <c r="I23" s="5" t="n">
        <f aca="false">IF(H23="","",VALUE(SUBSTITUTE(F23,"~",""))*H23)</f>
        <v>2.0292</v>
      </c>
      <c r="J23" s="2" t="s">
        <v>18</v>
      </c>
      <c r="K23" s="3" t="s">
        <v>26</v>
      </c>
      <c r="L23" s="2" t="s">
        <v>665</v>
      </c>
    </row>
    <row r="24" customFormat="false" ht="16.4" hidden="false" customHeight="false" outlineLevel="0" collapsed="false">
      <c r="A24" s="2" t="s">
        <v>572</v>
      </c>
      <c r="B24" s="2" t="s">
        <v>666</v>
      </c>
      <c r="C24" s="2" t="s">
        <v>667</v>
      </c>
      <c r="D24" s="2" t="s">
        <v>36</v>
      </c>
      <c r="E24" s="2" t="s">
        <v>64</v>
      </c>
      <c r="F24" s="2" t="n">
        <v>1</v>
      </c>
      <c r="G24" s="3" t="s">
        <v>668</v>
      </c>
      <c r="H24" s="4" t="n">
        <v>0.1188</v>
      </c>
      <c r="I24" s="5" t="n">
        <f aca="false">IF(H24="","",VALUE(SUBSTITUTE(F24,"~",""))*H24)</f>
        <v>0.1188</v>
      </c>
      <c r="J24" s="2" t="s">
        <v>18</v>
      </c>
      <c r="K24" s="3" t="s">
        <v>109</v>
      </c>
      <c r="L24" s="2" t="s">
        <v>669</v>
      </c>
    </row>
    <row r="25" customFormat="false" ht="16.4" hidden="false" customHeight="false" outlineLevel="0" collapsed="false">
      <c r="A25" s="2" t="s">
        <v>572</v>
      </c>
      <c r="B25" s="2" t="s">
        <v>670</v>
      </c>
      <c r="C25" s="2" t="s">
        <v>671</v>
      </c>
      <c r="D25" s="2" t="s">
        <v>166</v>
      </c>
      <c r="E25" s="2" t="s">
        <v>167</v>
      </c>
      <c r="F25" s="2" t="n">
        <v>1</v>
      </c>
      <c r="G25" s="3" t="s">
        <v>672</v>
      </c>
      <c r="H25" s="4" t="n">
        <v>0.1372</v>
      </c>
      <c r="I25" s="5" t="n">
        <f aca="false">IF(H25="","",VALUE(SUBSTITUTE(F25,"~",""))*H25)</f>
        <v>0.1372</v>
      </c>
      <c r="J25" s="2" t="s">
        <v>18</v>
      </c>
      <c r="K25" s="3" t="s">
        <v>26</v>
      </c>
      <c r="L25" s="2" t="s">
        <v>673</v>
      </c>
    </row>
    <row r="26" customFormat="false" ht="16.4" hidden="false" customHeight="false" outlineLevel="0" collapsed="false">
      <c r="A26" s="2" t="s">
        <v>572</v>
      </c>
      <c r="B26" s="2" t="s">
        <v>674</v>
      </c>
      <c r="C26" s="2" t="s">
        <v>675</v>
      </c>
      <c r="D26" s="2" t="s">
        <v>36</v>
      </c>
      <c r="E26" s="2" t="s">
        <v>676</v>
      </c>
      <c r="F26" s="2" t="n">
        <v>1</v>
      </c>
      <c r="G26" s="3" t="s">
        <v>677</v>
      </c>
      <c r="H26" s="4" t="n">
        <v>2.3462</v>
      </c>
      <c r="I26" s="5" t="n">
        <f aca="false">IF(H26="","",VALUE(SUBSTITUTE(F26,"~",""))*H26)</f>
        <v>2.3462</v>
      </c>
      <c r="J26" s="2" t="s">
        <v>18</v>
      </c>
      <c r="K26" s="3" t="s">
        <v>26</v>
      </c>
      <c r="L26" s="2" t="s">
        <v>678</v>
      </c>
    </row>
    <row r="27" customFormat="false" ht="16.4" hidden="false" customHeight="false" outlineLevel="0" collapsed="false">
      <c r="A27" s="2" t="s">
        <v>572</v>
      </c>
      <c r="B27" s="2" t="s">
        <v>679</v>
      </c>
      <c r="C27" s="2" t="s">
        <v>680</v>
      </c>
      <c r="D27" s="2" t="s">
        <v>36</v>
      </c>
      <c r="E27" s="2" t="s">
        <v>37</v>
      </c>
      <c r="F27" s="2" t="n">
        <v>1</v>
      </c>
      <c r="G27" s="3" t="s">
        <v>681</v>
      </c>
      <c r="H27" s="4" t="n">
        <v>0.2593</v>
      </c>
      <c r="I27" s="5" t="n">
        <f aca="false">IF(H27="","",VALUE(SUBSTITUTE(F27,"~",""))*H27)</f>
        <v>0.2593</v>
      </c>
      <c r="J27" s="2" t="s">
        <v>18</v>
      </c>
      <c r="K27" s="3" t="s">
        <v>26</v>
      </c>
      <c r="L27" s="2" t="s">
        <v>682</v>
      </c>
    </row>
    <row r="28" customFormat="false" ht="31.3" hidden="false" customHeight="false" outlineLevel="0" collapsed="false">
      <c r="A28" s="2" t="s">
        <v>572</v>
      </c>
      <c r="B28" s="2" t="s">
        <v>683</v>
      </c>
      <c r="C28" s="2" t="s">
        <v>684</v>
      </c>
      <c r="D28" s="2" t="s">
        <v>685</v>
      </c>
      <c r="E28" s="2" t="s">
        <v>686</v>
      </c>
      <c r="F28" s="2" t="n">
        <v>6</v>
      </c>
      <c r="G28" s="3" t="s">
        <v>687</v>
      </c>
      <c r="H28" s="4" t="n">
        <v>2.001</v>
      </c>
      <c r="I28" s="5" t="n">
        <f aca="false">IF(H28="","",VALUE(SUBSTITUTE(F28,"~",""))*H28)</f>
        <v>12.006</v>
      </c>
      <c r="J28" s="2" t="s">
        <v>18</v>
      </c>
      <c r="K28" s="3" t="s">
        <v>26</v>
      </c>
      <c r="L28" s="2" t="s">
        <v>688</v>
      </c>
    </row>
    <row r="29" customFormat="false" ht="16.4" hidden="false" customHeight="false" outlineLevel="0" collapsed="false">
      <c r="A29" s="2" t="s">
        <v>572</v>
      </c>
      <c r="B29" s="2" t="s">
        <v>689</v>
      </c>
      <c r="C29" s="2" t="s">
        <v>690</v>
      </c>
      <c r="D29" s="2" t="s">
        <v>36</v>
      </c>
      <c r="E29" s="2" t="s">
        <v>624</v>
      </c>
      <c r="F29" s="2" t="n">
        <v>3</v>
      </c>
      <c r="G29" s="3" t="s">
        <v>691</v>
      </c>
      <c r="H29" s="4" t="n">
        <v>2.0083</v>
      </c>
      <c r="I29" s="5" t="n">
        <f aca="false">IF(H29="","",VALUE(SUBSTITUTE(F29,"~",""))*H29)</f>
        <v>6.0249</v>
      </c>
      <c r="J29" s="2" t="s">
        <v>18</v>
      </c>
      <c r="K29" s="3" t="s">
        <v>26</v>
      </c>
      <c r="L29" s="2" t="s">
        <v>692</v>
      </c>
    </row>
    <row r="30" customFormat="false" ht="16.4" hidden="false" customHeight="false" outlineLevel="0" collapsed="false">
      <c r="A30" s="2" t="s">
        <v>572</v>
      </c>
      <c r="B30" s="2" t="s">
        <v>693</v>
      </c>
      <c r="C30" s="2" t="s">
        <v>694</v>
      </c>
      <c r="D30" s="2" t="s">
        <v>375</v>
      </c>
      <c r="E30" s="2" t="s">
        <v>261</v>
      </c>
      <c r="F30" s="2" t="n">
        <v>1</v>
      </c>
      <c r="G30" s="3" t="s">
        <v>695</v>
      </c>
      <c r="H30" s="4" t="n">
        <v>0.5277</v>
      </c>
      <c r="I30" s="5" t="n">
        <f aca="false">IF(H30="","",VALUE(SUBSTITUTE(F30,"~",""))*H30)</f>
        <v>0.5277</v>
      </c>
      <c r="J30" s="2" t="s">
        <v>18</v>
      </c>
      <c r="K30" s="3" t="s">
        <v>26</v>
      </c>
      <c r="L30" s="2" t="s">
        <v>696</v>
      </c>
    </row>
    <row r="31" customFormat="false" ht="16.4" hidden="false" customHeight="false" outlineLevel="0" collapsed="false">
      <c r="A31" s="2" t="s">
        <v>572</v>
      </c>
      <c r="B31" s="2" t="s">
        <v>697</v>
      </c>
      <c r="C31" s="2" t="s">
        <v>698</v>
      </c>
      <c r="D31" s="2" t="s">
        <v>36</v>
      </c>
      <c r="E31" s="2" t="s">
        <v>261</v>
      </c>
      <c r="F31" s="2" t="n">
        <v>1</v>
      </c>
      <c r="G31" s="3" t="s">
        <v>699</v>
      </c>
      <c r="H31" s="4" t="n">
        <v>0.6234</v>
      </c>
      <c r="I31" s="5" t="n">
        <f aca="false">IF(H31="","",VALUE(SUBSTITUTE(F31,"~",""))*H31)</f>
        <v>0.6234</v>
      </c>
      <c r="J31" s="2" t="s">
        <v>18</v>
      </c>
      <c r="K31" s="3" t="s">
        <v>26</v>
      </c>
      <c r="L31" s="2" t="s">
        <v>700</v>
      </c>
    </row>
    <row r="32" customFormat="false" ht="16.4" hidden="false" customHeight="false" outlineLevel="0" collapsed="false">
      <c r="A32" s="2" t="s">
        <v>572</v>
      </c>
      <c r="B32" s="2" t="s">
        <v>701</v>
      </c>
      <c r="C32" s="2" t="s">
        <v>702</v>
      </c>
      <c r="D32" s="2" t="s">
        <v>36</v>
      </c>
      <c r="E32" s="2" t="s">
        <v>703</v>
      </c>
      <c r="F32" s="2" t="n">
        <v>2</v>
      </c>
      <c r="G32" s="3" t="s">
        <v>704</v>
      </c>
      <c r="H32" s="4" t="n">
        <v>0.3759</v>
      </c>
      <c r="I32" s="5" t="n">
        <f aca="false">IF(H32="","",VALUE(SUBSTITUTE(F32,"~",""))*H32)</f>
        <v>0.7518</v>
      </c>
      <c r="J32" s="2" t="s">
        <v>18</v>
      </c>
      <c r="K32" s="3" t="s">
        <v>26</v>
      </c>
      <c r="L32" s="2" t="s">
        <v>705</v>
      </c>
    </row>
    <row r="33" customFormat="false" ht="16.4" hidden="false" customHeight="false" outlineLevel="0" collapsed="false">
      <c r="A33" s="2" t="s">
        <v>572</v>
      </c>
      <c r="B33" s="2" t="s">
        <v>706</v>
      </c>
      <c r="C33" s="2" t="s">
        <v>707</v>
      </c>
      <c r="D33" s="2" t="s">
        <v>36</v>
      </c>
      <c r="E33" s="2" t="s">
        <v>74</v>
      </c>
      <c r="F33" s="2" t="n">
        <v>2</v>
      </c>
      <c r="G33" s="3" t="s">
        <v>708</v>
      </c>
      <c r="H33" s="4" t="n">
        <v>0.7076</v>
      </c>
      <c r="I33" s="5" t="n">
        <f aca="false">IF(H33="","",VALUE(SUBSTITUTE(F33,"~",""))*H33)</f>
        <v>1.4152</v>
      </c>
      <c r="J33" s="2" t="s">
        <v>18</v>
      </c>
      <c r="K33" s="3" t="s">
        <v>26</v>
      </c>
      <c r="L33" s="2" t="s">
        <v>709</v>
      </c>
    </row>
    <row r="34" customFormat="false" ht="16.4" hidden="false" customHeight="false" outlineLevel="0" collapsed="false">
      <c r="A34" s="2" t="s">
        <v>572</v>
      </c>
      <c r="B34" s="2" t="s">
        <v>710</v>
      </c>
      <c r="C34" s="2" t="s">
        <v>711</v>
      </c>
      <c r="D34" s="2" t="s">
        <v>166</v>
      </c>
      <c r="E34" s="2" t="s">
        <v>712</v>
      </c>
      <c r="F34" s="2" t="n">
        <v>4</v>
      </c>
      <c r="G34" s="3" t="s">
        <v>713</v>
      </c>
      <c r="H34" s="4" t="n">
        <v>0.2954</v>
      </c>
      <c r="I34" s="5" t="n">
        <f aca="false">IF(H34="","",VALUE(SUBSTITUTE(F34,"~",""))*H34)</f>
        <v>1.1816</v>
      </c>
      <c r="J34" s="2" t="s">
        <v>18</v>
      </c>
      <c r="K34" s="3" t="s">
        <v>386</v>
      </c>
      <c r="L34" s="2" t="s">
        <v>714</v>
      </c>
    </row>
    <row r="35" customFormat="false" ht="31.3" hidden="false" customHeight="false" outlineLevel="0" collapsed="false">
      <c r="A35" s="2" t="s">
        <v>572</v>
      </c>
      <c r="B35" s="2" t="s">
        <v>715</v>
      </c>
      <c r="C35" s="2" t="s">
        <v>283</v>
      </c>
      <c r="D35" s="2"/>
      <c r="E35" s="2" t="s">
        <v>151</v>
      </c>
      <c r="F35" s="2" t="n">
        <v>1</v>
      </c>
      <c r="G35" s="2"/>
      <c r="H35" s="4"/>
      <c r="I35" s="5" t="str">
        <f aca="false">IF(H35="","",VALUE(SUBSTITUTE(F35,"~",""))*H35)</f>
        <v/>
      </c>
      <c r="J35" s="2" t="s">
        <v>284</v>
      </c>
      <c r="K35" s="2"/>
      <c r="L35" s="2" t="s">
        <v>716</v>
      </c>
    </row>
    <row r="36" customFormat="false" ht="31.3" hidden="false" customHeight="false" outlineLevel="0" collapsed="false">
      <c r="A36" s="2" t="s">
        <v>572</v>
      </c>
      <c r="B36" s="2" t="s">
        <v>717</v>
      </c>
      <c r="C36" s="2" t="s">
        <v>283</v>
      </c>
      <c r="D36" s="2"/>
      <c r="E36" s="2"/>
      <c r="F36" s="2" t="n">
        <v>1</v>
      </c>
      <c r="G36" s="2"/>
      <c r="H36" s="4"/>
      <c r="I36" s="5" t="str">
        <f aca="false">IF(H36="","",VALUE(SUBSTITUTE(F36,"~",""))*H36)</f>
        <v/>
      </c>
      <c r="J36" s="2" t="s">
        <v>284</v>
      </c>
      <c r="K36" s="2"/>
      <c r="L36" s="2"/>
    </row>
    <row r="37" customFormat="false" ht="31.3" hidden="false" customHeight="false" outlineLevel="0" collapsed="false">
      <c r="A37" s="2" t="s">
        <v>572</v>
      </c>
      <c r="B37" s="2" t="s">
        <v>718</v>
      </c>
      <c r="C37" s="2" t="s">
        <v>283</v>
      </c>
      <c r="D37" s="2"/>
      <c r="E37" s="2"/>
      <c r="F37" s="2" t="n">
        <v>1</v>
      </c>
      <c r="G37" s="2"/>
      <c r="H37" s="4"/>
      <c r="I37" s="5" t="str">
        <f aca="false">IF(H37="","",VALUE(SUBSTITUTE(F37,"~",""))*H37)</f>
        <v/>
      </c>
      <c r="J37" s="2" t="s">
        <v>284</v>
      </c>
      <c r="K37" s="2"/>
      <c r="L37" s="2" t="s">
        <v>719</v>
      </c>
    </row>
    <row r="38" customFormat="false" ht="31.3" hidden="false" customHeight="false" outlineLevel="0" collapsed="false">
      <c r="A38" s="2" t="s">
        <v>572</v>
      </c>
      <c r="B38" s="2" t="s">
        <v>720</v>
      </c>
      <c r="C38" s="2" t="s">
        <v>283</v>
      </c>
      <c r="D38" s="2"/>
      <c r="E38" s="2"/>
      <c r="F38" s="2" t="n">
        <v>1</v>
      </c>
      <c r="G38" s="2"/>
      <c r="H38" s="4"/>
      <c r="I38" s="5" t="str">
        <f aca="false">IF(H38="","",VALUE(SUBSTITUTE(F38,"~",""))*H38)</f>
        <v/>
      </c>
      <c r="J38" s="2" t="s">
        <v>284</v>
      </c>
      <c r="K38" s="2"/>
      <c r="L38" s="2" t="s">
        <v>721</v>
      </c>
    </row>
    <row r="39" customFormat="false" ht="31.3" hidden="false" customHeight="false" outlineLevel="0" collapsed="false">
      <c r="A39" s="2" t="s">
        <v>572</v>
      </c>
      <c r="B39" s="2" t="s">
        <v>722</v>
      </c>
      <c r="C39" s="2" t="s">
        <v>283</v>
      </c>
      <c r="D39" s="2"/>
      <c r="E39" s="2"/>
      <c r="F39" s="2" t="n">
        <v>1</v>
      </c>
      <c r="G39" s="2"/>
      <c r="H39" s="4"/>
      <c r="I39" s="5" t="str">
        <f aca="false">IF(H39="","",VALUE(SUBSTITUTE(F39,"~",""))*H39)</f>
        <v/>
      </c>
      <c r="J39" s="2" t="s">
        <v>284</v>
      </c>
      <c r="K39" s="2"/>
      <c r="L39" s="2" t="s">
        <v>723</v>
      </c>
    </row>
    <row r="40" customFormat="false" ht="31.3" hidden="false" customHeight="false" outlineLevel="0" collapsed="false">
      <c r="A40" s="2" t="s">
        <v>572</v>
      </c>
      <c r="B40" s="2" t="s">
        <v>724</v>
      </c>
      <c r="C40" s="2" t="s">
        <v>725</v>
      </c>
      <c r="D40" s="2" t="s">
        <v>726</v>
      </c>
      <c r="E40" s="2" t="s">
        <v>727</v>
      </c>
      <c r="F40" s="2" t="n">
        <v>3</v>
      </c>
      <c r="G40" s="2"/>
      <c r="H40" s="4"/>
      <c r="I40" s="5" t="str">
        <f aca="false">IF(H40="","",VALUE(SUBSTITUTE(F40,"~",""))*H40)</f>
        <v/>
      </c>
      <c r="J40" s="2" t="s">
        <v>502</v>
      </c>
      <c r="K40" s="2"/>
      <c r="L40" s="2" t="s">
        <v>728</v>
      </c>
    </row>
    <row r="41" customFormat="false" ht="16.4" hidden="false" customHeight="false" outlineLevel="0" collapsed="false">
      <c r="A41" s="2" t="s">
        <v>572</v>
      </c>
      <c r="B41" s="2" t="s">
        <v>729</v>
      </c>
      <c r="C41" s="2" t="s">
        <v>730</v>
      </c>
      <c r="D41" s="2" t="s">
        <v>559</v>
      </c>
      <c r="E41" s="2" t="s">
        <v>560</v>
      </c>
      <c r="F41" s="2" t="n">
        <v>1</v>
      </c>
      <c r="G41" s="3" t="s">
        <v>731</v>
      </c>
      <c r="H41" s="4" t="n">
        <v>1.7028</v>
      </c>
      <c r="I41" s="5" t="n">
        <f aca="false">IF(H41="","",VALUE(SUBSTITUTE(F41,"~",""))*H41)</f>
        <v>1.7028</v>
      </c>
      <c r="J41" s="2" t="s">
        <v>18</v>
      </c>
      <c r="K41" s="3" t="s">
        <v>26</v>
      </c>
      <c r="L41" s="2" t="s">
        <v>732</v>
      </c>
    </row>
  </sheetData>
  <autoFilter ref="A1:L41"/>
  <hyperlinks>
    <hyperlink ref="G2" r:id="rId1" display="C661813"/>
    <hyperlink ref="K2" r:id="rId2" display="PDF LCSC"/>
    <hyperlink ref="G3" r:id="rId3" display="C2665711"/>
    <hyperlink ref="K3" r:id="rId4" display="PDF LCSC"/>
    <hyperlink ref="G4" r:id="rId5" display="C2862740"/>
    <hyperlink ref="K4" r:id="rId6" display="PDF LCSC"/>
    <hyperlink ref="G5" r:id="rId7" display="C2679883"/>
    <hyperlink ref="K5" r:id="rId8" display="PDF LCSC"/>
    <hyperlink ref="G6" r:id="rId9" display="C2864373"/>
    <hyperlink ref="K6" r:id="rId10" display="PDF LCSC"/>
    <hyperlink ref="G7" r:id="rId11" display="C78812"/>
    <hyperlink ref="K7" r:id="rId12" display="PDF LCSC"/>
    <hyperlink ref="G9" r:id="rId13" display="C118873"/>
    <hyperlink ref="K9" r:id="rId14" display="PDF LCSC"/>
    <hyperlink ref="G10" r:id="rId15" display="C145516"/>
    <hyperlink ref="K10" r:id="rId16" display="PDF LCSC"/>
    <hyperlink ref="G11" r:id="rId17" display="C604972"/>
    <hyperlink ref="K11" r:id="rId18" display="PDF LCSC"/>
    <hyperlink ref="G12" r:id="rId19" display="C273250"/>
    <hyperlink ref="K12" r:id="rId20" display="PDF LCSC"/>
    <hyperlink ref="G13" r:id="rId21" display="C2057776"/>
    <hyperlink ref="K13" r:id="rId22" display="PDF LCSC"/>
    <hyperlink ref="G14" r:id="rId23" display="C2673386"/>
    <hyperlink ref="K14" r:id="rId24" display="PDF LCSC"/>
    <hyperlink ref="G15" r:id="rId25" display="C2058382"/>
    <hyperlink ref="K15" r:id="rId26" display="PDF LCSC"/>
    <hyperlink ref="G16" r:id="rId27" display="C108207"/>
    <hyperlink ref="K16" r:id="rId28" display="PDF LCSC"/>
    <hyperlink ref="G17" r:id="rId29" display="C48263"/>
    <hyperlink ref="K17" r:id="rId30" display="PDF LCSC"/>
    <hyperlink ref="G18" r:id="rId31" display="C11341"/>
    <hyperlink ref="K18" r:id="rId32" display="PDF LCSC"/>
    <hyperlink ref="G19" r:id="rId33" display="C87663"/>
    <hyperlink ref="K19" r:id="rId34" display="PDF LCSC"/>
    <hyperlink ref="G20" r:id="rId35" display="C2041780"/>
    <hyperlink ref="K20" r:id="rId36" display="PDF LCSC"/>
    <hyperlink ref="G21" r:id="rId37" display="C32150"/>
    <hyperlink ref="K21" r:id="rId38" display="PDF LCSC"/>
    <hyperlink ref="G22" r:id="rId39" display="C16430"/>
    <hyperlink ref="K22" r:id="rId40" display="PDF LCSC"/>
    <hyperlink ref="G23" r:id="rId41" display="C33835"/>
    <hyperlink ref="K23" r:id="rId42" display="PDF LCSC"/>
    <hyperlink ref="G24" r:id="rId43" display="C41730179"/>
    <hyperlink ref="K24" r:id="rId44" display="ti.com"/>
    <hyperlink ref="G25" r:id="rId45" display="C161082"/>
    <hyperlink ref="K25" r:id="rId46" display="PDF LCSC"/>
    <hyperlink ref="G26" r:id="rId47" display="C5220127"/>
    <hyperlink ref="K26" r:id="rId48" display="PDF LCSC"/>
    <hyperlink ref="G27" r:id="rId49" display="C963430"/>
    <hyperlink ref="K27" r:id="rId50" display="PDF LCSC"/>
    <hyperlink ref="G28" r:id="rId51" display="C19078074"/>
    <hyperlink ref="K28" r:id="rId52" display="PDF LCSC"/>
    <hyperlink ref="G29" r:id="rId53" display="C544801"/>
    <hyperlink ref="K29" r:id="rId54" display="PDF LCSC"/>
    <hyperlink ref="G30" r:id="rId55" display="C5458"/>
    <hyperlink ref="K30" r:id="rId56" display="PDF LCSC"/>
    <hyperlink ref="G31" r:id="rId57" display="C182421"/>
    <hyperlink ref="K31" r:id="rId58" display="PDF LCSC"/>
    <hyperlink ref="G32" r:id="rId59" display="C7813"/>
    <hyperlink ref="K32" r:id="rId60" display="PDF LCSC"/>
    <hyperlink ref="G33" r:id="rId61" display="C465732"/>
    <hyperlink ref="K33" r:id="rId62" display="PDF LCSC"/>
    <hyperlink ref="G34" r:id="rId63" display="C98107"/>
    <hyperlink ref="K34" r:id="rId64" display="карточка LCSC"/>
    <hyperlink ref="G41" r:id="rId65" display="C464611"/>
    <hyperlink ref="K41" r:id="rId66" display="PDF LC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22"/>
    <col collapsed="false" customWidth="true" hidden="false" outlineLevel="0" max="11" min="11" style="0" width="16"/>
    <col collapsed="false" customWidth="true" hidden="false" outlineLevel="0" max="12" min="12" style="0" width="60"/>
  </cols>
  <sheetData>
    <row r="1" customFormat="false" ht="61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6.4" hidden="false" customHeight="false" outlineLevel="0" collapsed="false">
      <c r="A2" s="2" t="s">
        <v>12</v>
      </c>
      <c r="B2" s="2" t="s">
        <v>733</v>
      </c>
      <c r="C2" s="2" t="s">
        <v>734</v>
      </c>
      <c r="D2" s="2" t="s">
        <v>735</v>
      </c>
      <c r="E2" s="2" t="s">
        <v>736</v>
      </c>
      <c r="F2" s="2" t="n">
        <v>1</v>
      </c>
      <c r="G2" s="2"/>
      <c r="H2" s="4"/>
      <c r="I2" s="5" t="str">
        <f aca="false">IF(H2="","",VALUE(SUBSTITUTE(F2,"~",""))*H2)</f>
        <v/>
      </c>
      <c r="J2" s="2" t="s">
        <v>502</v>
      </c>
      <c r="K2" s="2"/>
      <c r="L2" s="2" t="s">
        <v>737</v>
      </c>
    </row>
    <row r="3" customFormat="false" ht="31.3" hidden="false" customHeight="false" outlineLevel="0" collapsed="false">
      <c r="A3" s="2" t="s">
        <v>12</v>
      </c>
      <c r="B3" s="2" t="s">
        <v>738</v>
      </c>
      <c r="C3" s="2" t="s">
        <v>739</v>
      </c>
      <c r="D3" s="2" t="s">
        <v>740</v>
      </c>
      <c r="E3" s="2" t="s">
        <v>741</v>
      </c>
      <c r="F3" s="2" t="n">
        <v>1</v>
      </c>
      <c r="G3" s="3" t="s">
        <v>742</v>
      </c>
      <c r="H3" s="4" t="n">
        <v>4.3175</v>
      </c>
      <c r="I3" s="5" t="n">
        <f aca="false">IF(H3="","",VALUE(SUBSTITUTE(F3,"~",""))*H3)</f>
        <v>4.3175</v>
      </c>
      <c r="J3" s="2" t="s">
        <v>18</v>
      </c>
      <c r="K3" s="3" t="s">
        <v>26</v>
      </c>
      <c r="L3" s="2" t="s">
        <v>743</v>
      </c>
    </row>
    <row r="4" customFormat="false" ht="31.3" hidden="false" customHeight="false" outlineLevel="0" collapsed="false">
      <c r="A4" s="2" t="s">
        <v>12</v>
      </c>
      <c r="B4" s="2" t="s">
        <v>744</v>
      </c>
      <c r="C4" s="2" t="s">
        <v>283</v>
      </c>
      <c r="D4" s="2"/>
      <c r="E4" s="2" t="s">
        <v>346</v>
      </c>
      <c r="F4" s="2" t="n">
        <v>1</v>
      </c>
      <c r="G4" s="2"/>
      <c r="H4" s="4"/>
      <c r="I4" s="5" t="str">
        <f aca="false">IF(H4="","",VALUE(SUBSTITUTE(F4,"~",""))*H4)</f>
        <v/>
      </c>
      <c r="J4" s="2" t="s">
        <v>284</v>
      </c>
      <c r="K4" s="2"/>
      <c r="L4" s="2" t="s">
        <v>745</v>
      </c>
    </row>
    <row r="5" customFormat="false" ht="31.3" hidden="false" customHeight="false" outlineLevel="0" collapsed="false">
      <c r="A5" s="2" t="s">
        <v>443</v>
      </c>
      <c r="B5" s="2" t="s">
        <v>746</v>
      </c>
      <c r="C5" s="2" t="s">
        <v>747</v>
      </c>
      <c r="D5" s="2"/>
      <c r="E5" s="2" t="s">
        <v>748</v>
      </c>
      <c r="F5" s="2" t="n">
        <v>1</v>
      </c>
      <c r="G5" s="2"/>
      <c r="H5" s="4"/>
      <c r="I5" s="5" t="str">
        <f aca="false">IF(H5="","",VALUE(SUBSTITUTE(F5,"~",""))*H5)</f>
        <v/>
      </c>
      <c r="J5" s="2" t="s">
        <v>502</v>
      </c>
      <c r="K5" s="2"/>
      <c r="L5" s="2" t="s">
        <v>749</v>
      </c>
    </row>
    <row r="6" customFormat="false" ht="46.25" hidden="false" customHeight="false" outlineLevel="0" collapsed="false">
      <c r="A6" s="2" t="s">
        <v>98</v>
      </c>
      <c r="B6" s="2" t="s">
        <v>750</v>
      </c>
      <c r="C6" s="2" t="s">
        <v>283</v>
      </c>
      <c r="D6" s="2"/>
      <c r="E6" s="2" t="s">
        <v>751</v>
      </c>
      <c r="F6" s="2" t="n">
        <v>1</v>
      </c>
      <c r="G6" s="2"/>
      <c r="H6" s="4"/>
      <c r="I6" s="5" t="str">
        <f aca="false">IF(H6="","",VALUE(SUBSTITUTE(F6,"~",""))*H6)</f>
        <v/>
      </c>
      <c r="J6" s="2" t="s">
        <v>284</v>
      </c>
      <c r="K6" s="2"/>
      <c r="L6" s="2" t="s">
        <v>752</v>
      </c>
    </row>
    <row r="7" customFormat="false" ht="31.3" hidden="false" customHeight="false" outlineLevel="0" collapsed="false">
      <c r="A7" s="2" t="s">
        <v>98</v>
      </c>
      <c r="B7" s="2" t="s">
        <v>753</v>
      </c>
      <c r="C7" s="2" t="s">
        <v>283</v>
      </c>
      <c r="D7" s="2"/>
      <c r="E7" s="2" t="s">
        <v>754</v>
      </c>
      <c r="F7" s="2" t="n">
        <v>1</v>
      </c>
      <c r="G7" s="2"/>
      <c r="H7" s="4"/>
      <c r="I7" s="5" t="str">
        <f aca="false">IF(H7="","",VALUE(SUBSTITUTE(F7,"~",""))*H7)</f>
        <v/>
      </c>
      <c r="J7" s="2" t="s">
        <v>284</v>
      </c>
      <c r="K7" s="2"/>
      <c r="L7" s="2" t="s">
        <v>755</v>
      </c>
    </row>
  </sheetData>
  <autoFilter ref="A1:L7"/>
  <hyperlinks>
    <hyperlink ref="G3" r:id="rId1" display="C428482"/>
    <hyperlink ref="K3" r:id="rId2" display="PDF LC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22"/>
    <col collapsed="false" customWidth="true" hidden="false" outlineLevel="0" max="11" min="11" style="0" width="16"/>
    <col collapsed="false" customWidth="true" hidden="false" outlineLevel="0" max="12" min="12" style="0" width="60"/>
  </cols>
  <sheetData>
    <row r="1" customFormat="false" ht="61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31.3" hidden="false" customHeight="false" outlineLevel="0" collapsed="false">
      <c r="A2" s="2" t="s">
        <v>756</v>
      </c>
      <c r="B2" s="2" t="s">
        <v>757</v>
      </c>
      <c r="C2" s="2"/>
      <c r="D2" s="2"/>
      <c r="E2" s="2" t="s">
        <v>279</v>
      </c>
      <c r="F2" s="2" t="s">
        <v>758</v>
      </c>
      <c r="G2" s="2"/>
      <c r="H2" s="4" t="n">
        <v>0.0061</v>
      </c>
      <c r="I2" s="5" t="n">
        <f aca="false">IF(H2="","",VALUE(SUBSTITUTE(F2,"~",""))*H2)</f>
        <v>0.915</v>
      </c>
      <c r="J2" s="2" t="s">
        <v>759</v>
      </c>
      <c r="K2" s="2"/>
      <c r="L2" s="2" t="s">
        <v>760</v>
      </c>
    </row>
    <row r="3" customFormat="false" ht="31.3" hidden="false" customHeight="false" outlineLevel="0" collapsed="false">
      <c r="A3" s="2" t="s">
        <v>761</v>
      </c>
      <c r="B3" s="2" t="s">
        <v>757</v>
      </c>
      <c r="C3" s="2"/>
      <c r="D3" s="2"/>
      <c r="E3" s="2" t="s">
        <v>762</v>
      </c>
      <c r="F3" s="2" t="n">
        <v>3</v>
      </c>
      <c r="G3" s="2"/>
      <c r="H3" s="4" t="n">
        <v>0.0032</v>
      </c>
      <c r="I3" s="5" t="n">
        <f aca="false">IF(H3="","",VALUE(SUBSTITUTE(F3,"~",""))*H3)</f>
        <v>0.0096</v>
      </c>
      <c r="J3" s="2" t="s">
        <v>763</v>
      </c>
      <c r="K3" s="2"/>
      <c r="L3" s="2" t="s">
        <v>764</v>
      </c>
    </row>
    <row r="4" customFormat="false" ht="31.3" hidden="false" customHeight="false" outlineLevel="0" collapsed="false">
      <c r="A4" s="2" t="s">
        <v>756</v>
      </c>
      <c r="B4" s="2" t="s">
        <v>765</v>
      </c>
      <c r="C4" s="2"/>
      <c r="D4" s="2"/>
      <c r="E4" s="2" t="s">
        <v>766</v>
      </c>
      <c r="F4" s="2" t="s">
        <v>767</v>
      </c>
      <c r="G4" s="2"/>
      <c r="H4" s="4" t="n">
        <v>0.03</v>
      </c>
      <c r="I4" s="5" t="n">
        <f aca="false">IF(H4="","",VALUE(SUBSTITUTE(F4,"~",""))*H4)</f>
        <v>1.35</v>
      </c>
      <c r="J4" s="2" t="s">
        <v>768</v>
      </c>
      <c r="K4" s="2"/>
      <c r="L4" s="2" t="s">
        <v>769</v>
      </c>
    </row>
    <row r="5" customFormat="false" ht="31.3" hidden="false" customHeight="false" outlineLevel="0" collapsed="false">
      <c r="A5" s="2" t="s">
        <v>756</v>
      </c>
      <c r="B5" s="2" t="s">
        <v>770</v>
      </c>
      <c r="C5" s="2"/>
      <c r="D5" s="2"/>
      <c r="E5" s="2" t="s">
        <v>394</v>
      </c>
      <c r="F5" s="2" t="s">
        <v>771</v>
      </c>
      <c r="G5" s="2"/>
      <c r="H5" s="4" t="n">
        <v>0.12</v>
      </c>
      <c r="I5" s="5" t="n">
        <f aca="false">IF(H5="","",VALUE(SUBSTITUTE(F5,"~",""))*H5)</f>
        <v>4.2</v>
      </c>
      <c r="J5" s="2" t="s">
        <v>772</v>
      </c>
      <c r="K5" s="2"/>
      <c r="L5" s="2" t="s">
        <v>769</v>
      </c>
    </row>
    <row r="6" customFormat="false" ht="31.3" hidden="false" customHeight="false" outlineLevel="0" collapsed="false">
      <c r="A6" s="2" t="s">
        <v>773</v>
      </c>
      <c r="B6" s="2" t="s">
        <v>774</v>
      </c>
      <c r="C6" s="2"/>
      <c r="D6" s="2"/>
      <c r="E6" s="2" t="s">
        <v>151</v>
      </c>
      <c r="F6" s="2" t="s">
        <v>775</v>
      </c>
      <c r="G6" s="2"/>
      <c r="H6" s="4" t="n">
        <v>0.2532</v>
      </c>
      <c r="I6" s="5" t="n">
        <f aca="false">IF(H6="","",VALUE(SUBSTITUTE(F6,"~",""))*H6)</f>
        <v>2.0256</v>
      </c>
      <c r="J6" s="2" t="s">
        <v>776</v>
      </c>
      <c r="K6" s="2"/>
      <c r="L6" s="2" t="s">
        <v>777</v>
      </c>
    </row>
    <row r="7" customFormat="false" ht="31.3" hidden="false" customHeight="false" outlineLevel="0" collapsed="false">
      <c r="A7" s="2" t="s">
        <v>756</v>
      </c>
      <c r="B7" s="2" t="s">
        <v>778</v>
      </c>
      <c r="C7" s="2"/>
      <c r="D7" s="2"/>
      <c r="E7" s="2" t="s">
        <v>279</v>
      </c>
      <c r="F7" s="2" t="s">
        <v>779</v>
      </c>
      <c r="G7" s="2"/>
      <c r="H7" s="4" t="n">
        <v>0.01</v>
      </c>
      <c r="I7" s="5" t="n">
        <f aca="false">IF(H7="","",VALUE(SUBSTITUTE(F7,"~",""))*H7)</f>
        <v>0.6</v>
      </c>
      <c r="J7" s="2" t="s">
        <v>780</v>
      </c>
      <c r="K7" s="2"/>
      <c r="L7" s="2" t="s">
        <v>781</v>
      </c>
    </row>
    <row r="8" customFormat="false" ht="31.3" hidden="false" customHeight="false" outlineLevel="0" collapsed="false">
      <c r="A8" s="2" t="s">
        <v>782</v>
      </c>
      <c r="B8" s="2" t="s">
        <v>783</v>
      </c>
      <c r="C8" s="2" t="s">
        <v>784</v>
      </c>
      <c r="D8" s="2" t="s">
        <v>785</v>
      </c>
      <c r="E8" s="2" t="s">
        <v>279</v>
      </c>
      <c r="F8" s="2" t="n">
        <v>18</v>
      </c>
      <c r="G8" s="3" t="s">
        <v>786</v>
      </c>
      <c r="H8" s="4" t="n">
        <v>0.0086</v>
      </c>
      <c r="I8" s="5" t="n">
        <f aca="false">IF(H8="","",VALUE(SUBSTITUTE(F8,"~",""))*H8)</f>
        <v>0.1548</v>
      </c>
      <c r="J8" s="2" t="s">
        <v>18</v>
      </c>
      <c r="K8" s="3" t="s">
        <v>26</v>
      </c>
      <c r="L8" s="2" t="s">
        <v>787</v>
      </c>
    </row>
    <row r="9" customFormat="false" ht="31.3" hidden="false" customHeight="false" outlineLevel="0" collapsed="false">
      <c r="A9" s="2" t="s">
        <v>756</v>
      </c>
      <c r="B9" s="2" t="s">
        <v>788</v>
      </c>
      <c r="C9" s="2"/>
      <c r="D9" s="2"/>
      <c r="E9" s="2" t="s">
        <v>279</v>
      </c>
      <c r="F9" s="2" t="s">
        <v>789</v>
      </c>
      <c r="G9" s="2"/>
      <c r="H9" s="4" t="n">
        <v>0.0022</v>
      </c>
      <c r="I9" s="5" t="n">
        <f aca="false">IF(H9="","",VALUE(SUBSTITUTE(F9,"~",""))*H9)</f>
        <v>0.462</v>
      </c>
      <c r="J9" s="2" t="s">
        <v>790</v>
      </c>
      <c r="K9" s="2"/>
      <c r="L9" s="2" t="s">
        <v>791</v>
      </c>
    </row>
    <row r="10" customFormat="false" ht="31.3" hidden="false" customHeight="false" outlineLevel="0" collapsed="false">
      <c r="A10" s="2" t="s">
        <v>756</v>
      </c>
      <c r="B10" s="2" t="s">
        <v>792</v>
      </c>
      <c r="C10" s="2"/>
      <c r="D10" s="2"/>
      <c r="E10" s="2" t="s">
        <v>279</v>
      </c>
      <c r="F10" s="2" t="s">
        <v>771</v>
      </c>
      <c r="G10" s="2"/>
      <c r="H10" s="4" t="n">
        <v>0.0322</v>
      </c>
      <c r="I10" s="5" t="n">
        <f aca="false">IF(H10="","",VALUE(SUBSTITUTE(F10,"~",""))*H10)</f>
        <v>1.127</v>
      </c>
      <c r="J10" s="2" t="s">
        <v>793</v>
      </c>
      <c r="K10" s="2"/>
      <c r="L10" s="2" t="s">
        <v>794</v>
      </c>
    </row>
    <row r="11" customFormat="false" ht="31.3" hidden="false" customHeight="false" outlineLevel="0" collapsed="false">
      <c r="A11" s="2" t="s">
        <v>795</v>
      </c>
      <c r="B11" s="2" t="s">
        <v>796</v>
      </c>
      <c r="C11" s="2"/>
      <c r="D11" s="2"/>
      <c r="E11" s="2" t="s">
        <v>797</v>
      </c>
      <c r="F11" s="2" t="s">
        <v>798</v>
      </c>
      <c r="G11" s="2"/>
      <c r="H11" s="4" t="n">
        <v>0.04</v>
      </c>
      <c r="I11" s="5" t="n">
        <f aca="false">IF(H11="","",VALUE(SUBSTITUTE(F11,"~",""))*H11)</f>
        <v>0.24</v>
      </c>
      <c r="J11" s="2" t="s">
        <v>799</v>
      </c>
      <c r="K11" s="2"/>
      <c r="L11" s="2" t="s">
        <v>769</v>
      </c>
    </row>
    <row r="12" customFormat="false" ht="31.3" hidden="false" customHeight="false" outlineLevel="0" collapsed="false">
      <c r="A12" s="2" t="s">
        <v>800</v>
      </c>
      <c r="B12" s="2" t="s">
        <v>801</v>
      </c>
      <c r="C12" s="2"/>
      <c r="D12" s="2"/>
      <c r="E12" s="2" t="s">
        <v>394</v>
      </c>
      <c r="F12" s="2" t="n">
        <v>2</v>
      </c>
      <c r="G12" s="2"/>
      <c r="H12" s="4" t="n">
        <v>0.013</v>
      </c>
      <c r="I12" s="5" t="n">
        <f aca="false">IF(H12="","",VALUE(SUBSTITUTE(F12,"~",""))*H12)</f>
        <v>0.026</v>
      </c>
      <c r="J12" s="2" t="s">
        <v>802</v>
      </c>
      <c r="K12" s="2"/>
      <c r="L12" s="2" t="s">
        <v>803</v>
      </c>
    </row>
    <row r="13" customFormat="false" ht="31.3" hidden="false" customHeight="false" outlineLevel="0" collapsed="false">
      <c r="A13" s="2" t="s">
        <v>804</v>
      </c>
      <c r="B13" s="2" t="s">
        <v>805</v>
      </c>
      <c r="C13" s="2"/>
      <c r="D13" s="2"/>
      <c r="E13" s="2" t="s">
        <v>766</v>
      </c>
      <c r="F13" s="2" t="s">
        <v>806</v>
      </c>
      <c r="G13" s="2"/>
      <c r="H13" s="4" t="n">
        <v>0.035</v>
      </c>
      <c r="I13" s="5" t="n">
        <f aca="false">IF(H13="","",VALUE(SUBSTITUTE(F13,"~",""))*H13)</f>
        <v>0.63</v>
      </c>
      <c r="J13" s="2" t="s">
        <v>807</v>
      </c>
      <c r="K13" s="2"/>
      <c r="L13" s="2" t="s">
        <v>808</v>
      </c>
    </row>
    <row r="14" customFormat="false" ht="31.3" hidden="false" customHeight="false" outlineLevel="0" collapsed="false">
      <c r="A14" s="2" t="s">
        <v>809</v>
      </c>
      <c r="B14" s="2" t="s">
        <v>810</v>
      </c>
      <c r="C14" s="2"/>
      <c r="D14" s="2"/>
      <c r="E14" s="2" t="s">
        <v>279</v>
      </c>
      <c r="F14" s="2" t="s">
        <v>811</v>
      </c>
      <c r="G14" s="2"/>
      <c r="H14" s="4" t="n">
        <v>0.0077</v>
      </c>
      <c r="I14" s="5" t="n">
        <f aca="false">IF(H14="","",VALUE(SUBSTITUTE(F14,"~",""))*H14)</f>
        <v>0.0385</v>
      </c>
      <c r="J14" s="2" t="s">
        <v>812</v>
      </c>
      <c r="K14" s="2"/>
      <c r="L14" s="2" t="s">
        <v>813</v>
      </c>
    </row>
  </sheetData>
  <autoFilter ref="A1:L14"/>
  <hyperlinks>
    <hyperlink ref="G8" r:id="rId1" display="C307505"/>
    <hyperlink ref="K8" r:id="rId2" display="PDF LC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2"/>
  </cols>
  <sheetData>
    <row r="1" customFormat="false" ht="16.4" hidden="false" customHeight="false" outlineLevel="0" collapsed="false">
      <c r="A1" s="1" t="s">
        <v>814</v>
      </c>
      <c r="B1" s="1" t="s">
        <v>815</v>
      </c>
      <c r="C1" s="1" t="s">
        <v>816</v>
      </c>
      <c r="D1" s="1" t="s">
        <v>817</v>
      </c>
      <c r="E1" s="1" t="s">
        <v>8</v>
      </c>
      <c r="F1" s="1" t="s">
        <v>818</v>
      </c>
    </row>
    <row r="2" customFormat="false" ht="15" hidden="false" customHeight="false" outlineLevel="0" collapsed="false">
      <c r="A2" s="0" t="s">
        <v>819</v>
      </c>
      <c r="B2" s="0" t="n">
        <f aca="false">COUNTA(Материнка!B:B)-1</f>
        <v>112</v>
      </c>
      <c r="C2" s="0" t="n">
        <f aca="false">COUNT(Материнка!H:H)</f>
        <v>102</v>
      </c>
      <c r="D2" s="0" t="n">
        <f aca="false">B2-C2</f>
        <v>10</v>
      </c>
      <c r="E2" s="6" t="n">
        <f aca="false">SUM(Материнка!I:I)</f>
        <v>175.0623</v>
      </c>
      <c r="F2" s="7" t="n">
        <f aca="false">E2*$B$8</f>
        <v>14103.018888</v>
      </c>
    </row>
    <row r="3" customFormat="false" ht="15" hidden="false" customHeight="false" outlineLevel="0" collapsed="false">
      <c r="A3" s="0" t="s">
        <v>820</v>
      </c>
      <c r="B3" s="0" t="n">
        <f aca="false">COUNTA('Аналоговый модуль'!B:B)-1</f>
        <v>40</v>
      </c>
      <c r="C3" s="0" t="n">
        <f aca="false">COUNT('Аналоговый модуль'!H:H)</f>
        <v>33</v>
      </c>
      <c r="D3" s="0" t="n">
        <f aca="false">B3-C3</f>
        <v>7</v>
      </c>
      <c r="E3" s="6" t="n">
        <f aca="false">SUM('Аналоговый модуль'!I:I)</f>
        <v>119.8866</v>
      </c>
      <c r="F3" s="7" t="n">
        <f aca="false">E3*$B$8</f>
        <v>9658.064496</v>
      </c>
    </row>
    <row r="4" customFormat="false" ht="15" hidden="false" customHeight="false" outlineLevel="0" collapsed="false">
      <c r="A4" s="0" t="s">
        <v>821</v>
      </c>
      <c r="B4" s="0" t="n">
        <f aca="false">COUNTA('Модули и механика'!B:B)-1</f>
        <v>6</v>
      </c>
      <c r="C4" s="0" t="n">
        <f aca="false">COUNT('Модули и механика'!H:H)</f>
        <v>1</v>
      </c>
      <c r="D4" s="0" t="n">
        <f aca="false">B4-C4</f>
        <v>5</v>
      </c>
      <c r="E4" s="6" t="n">
        <f aca="false">SUM('Модули и механика'!I:I)</f>
        <v>4.3175</v>
      </c>
      <c r="F4" s="7" t="n">
        <f aca="false">E4*$B$8</f>
        <v>347.8178</v>
      </c>
    </row>
    <row r="5" customFormat="false" ht="15" hidden="false" customHeight="false" outlineLevel="0" collapsed="false">
      <c r="A5" s="0" t="s">
        <v>822</v>
      </c>
      <c r="B5" s="0" t="n">
        <f aca="false">COUNTA(Пассив!B:B)-1</f>
        <v>13</v>
      </c>
      <c r="C5" s="0" t="n">
        <f aca="false">COUNT(Пассив!H:H)</f>
        <v>13</v>
      </c>
      <c r="D5" s="0" t="n">
        <f aca="false">B5-C5</f>
        <v>0</v>
      </c>
      <c r="E5" s="6" t="n">
        <f aca="false">SUM(Пассив!I:I)</f>
        <v>11.7785</v>
      </c>
      <c r="F5" s="7" t="n">
        <f aca="false">E5*$B$8</f>
        <v>948.87596</v>
      </c>
    </row>
    <row r="6" customFormat="false" ht="15" hidden="false" customHeight="false" outlineLevel="0" collapsed="false">
      <c r="A6" s="8" t="s">
        <v>823</v>
      </c>
      <c r="B6" s="8" t="n">
        <f aca="false">SUM(B2:B5)</f>
        <v>171</v>
      </c>
      <c r="C6" s="8" t="n">
        <f aca="false">SUM(C2:C5)</f>
        <v>149</v>
      </c>
      <c r="D6" s="8" t="n">
        <f aca="false">SUM(D2:D5)</f>
        <v>22</v>
      </c>
      <c r="E6" s="9" t="n">
        <f aca="false">SUM(E2:E5)</f>
        <v>311.0449</v>
      </c>
      <c r="F6" s="10" t="n">
        <f aca="false">E6*$B$8</f>
        <v>25057.777144</v>
      </c>
    </row>
    <row r="8" customFormat="false" ht="15" hidden="false" customHeight="false" outlineLevel="0" collapsed="false">
      <c r="A8" s="0" t="s">
        <v>824</v>
      </c>
      <c r="B8" s="0" t="n">
        <v>80.56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1" t="s">
        <v>825</v>
      </c>
      <c r="B1" s="11" t="s">
        <v>826</v>
      </c>
    </row>
    <row r="2" customFormat="false" ht="16.4" hidden="false" customHeight="false" outlineLevel="0" collapsed="false">
      <c r="A2" s="2" t="s">
        <v>827</v>
      </c>
      <c r="B2" s="2" t="s">
        <v>828</v>
      </c>
    </row>
    <row r="3" customFormat="false" ht="16.4" hidden="false" customHeight="false" outlineLevel="0" collapsed="false">
      <c r="A3" s="2" t="s">
        <v>829</v>
      </c>
      <c r="B3" s="2" t="s">
        <v>830</v>
      </c>
    </row>
    <row r="4" customFormat="false" ht="46.25" hidden="false" customHeight="false" outlineLevel="0" collapsed="false">
      <c r="A4" s="2" t="s">
        <v>831</v>
      </c>
      <c r="B4" s="2" t="s">
        <v>832</v>
      </c>
    </row>
    <row r="5" customFormat="false" ht="46.25" hidden="false" customHeight="false" outlineLevel="0" collapsed="false">
      <c r="A5" s="2" t="s">
        <v>0</v>
      </c>
      <c r="B5" s="2" t="s">
        <v>833</v>
      </c>
    </row>
    <row r="6" customFormat="false" ht="16.4" hidden="false" customHeight="false" outlineLevel="0" collapsed="false">
      <c r="A6" s="2" t="s">
        <v>5</v>
      </c>
      <c r="B6" s="2" t="s">
        <v>834</v>
      </c>
    </row>
    <row r="7" customFormat="false" ht="31.3" hidden="false" customHeight="false" outlineLevel="0" collapsed="false">
      <c r="A7" s="2" t="s">
        <v>283</v>
      </c>
      <c r="B7" s="2" t="s">
        <v>835</v>
      </c>
    </row>
    <row r="8" customFormat="false" ht="46.25" hidden="false" customHeight="false" outlineLevel="0" collapsed="false">
      <c r="A8" s="2" t="s">
        <v>6</v>
      </c>
      <c r="B8" s="2" t="s">
        <v>836</v>
      </c>
    </row>
    <row r="9" customFormat="false" ht="31.3" hidden="false" customHeight="false" outlineLevel="0" collapsed="false">
      <c r="A9" s="2" t="s">
        <v>10</v>
      </c>
      <c r="B9" s="2" t="s">
        <v>837</v>
      </c>
    </row>
    <row r="10" customFormat="false" ht="16.4" hidden="false" customHeight="false" outlineLevel="0" collapsed="false">
      <c r="A10" s="2" t="s">
        <v>822</v>
      </c>
      <c r="B10" s="2" t="s">
        <v>838</v>
      </c>
    </row>
    <row r="11" customFormat="false" ht="31.3" hidden="false" customHeight="false" outlineLevel="0" collapsed="false">
      <c r="A11" s="2" t="s">
        <v>839</v>
      </c>
      <c r="B11" s="2" t="s">
        <v>840</v>
      </c>
    </row>
    <row r="12" customFormat="false" ht="46.25" hidden="false" customHeight="false" outlineLevel="0" collapsed="false">
      <c r="A12" s="2" t="s">
        <v>7</v>
      </c>
      <c r="B12" s="2" t="s">
        <v>841</v>
      </c>
    </row>
    <row r="13" customFormat="false" ht="46.25" hidden="false" customHeight="false" outlineLevel="0" collapsed="false">
      <c r="A13" s="2" t="s">
        <v>9</v>
      </c>
      <c r="B13" s="2" t="s">
        <v>842</v>
      </c>
    </row>
    <row r="14" customFormat="false" ht="46.25" hidden="false" customHeight="false" outlineLevel="0" collapsed="false">
      <c r="A14" s="2" t="s">
        <v>843</v>
      </c>
      <c r="B14" s="2" t="s">
        <v>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2026-10-31T10:39:51Z</dcterms:created>
  <dc:creator>Fabbit</dc:creator>
  <dc:description/>
  <dc:language>ru-RU</dc:language>
  <cp:lastModifiedBy>Fabbit</cp:lastModifiedBy>
  <dcterms:modified xsi:type="dcterms:W3CDTF">2026-10-31T10:39:51Z</dcterms:modified>
  <cp:revision>0</cp:revision>
  <dc:subject/>
  <dc:title>Fabbit BOM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